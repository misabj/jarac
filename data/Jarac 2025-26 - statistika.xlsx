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\Desktop\"/>
    </mc:Choice>
  </mc:AlternateContent>
  <xr:revisionPtr revIDLastSave="0" documentId="13_ncr:1_{628678BC-52D8-4F03-9CB3-AF66B5AE8E3F}" xr6:coauthVersionLast="41" xr6:coauthVersionMax="47" xr10:uidLastSave="{00000000-0000-0000-0000-000000000000}"/>
  <bookViews>
    <workbookView xWindow="-120" yWindow="-120" windowWidth="29040" windowHeight="15840" xr2:uid="{3D9751F2-9B29-4FF2-8EAC-093C07ADFD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48576" i="1" l="1"/>
  <c r="S43" i="1" l="1"/>
  <c r="S24" i="1"/>
  <c r="S56" i="1"/>
  <c r="S2" i="1"/>
  <c r="L26" i="1"/>
  <c r="L33" i="1"/>
  <c r="L32" i="1"/>
  <c r="L43" i="1"/>
  <c r="L24" i="1"/>
  <c r="L56" i="1"/>
  <c r="G26" i="1"/>
  <c r="H26" i="1" s="1"/>
  <c r="G33" i="1"/>
  <c r="H33" i="1" s="1"/>
  <c r="G32" i="1"/>
  <c r="H32" i="1" s="1"/>
  <c r="G43" i="1"/>
  <c r="H43" i="1" s="1"/>
  <c r="G24" i="1"/>
  <c r="H24" i="1" s="1"/>
  <c r="G56" i="1"/>
  <c r="H56" i="1" s="1"/>
  <c r="F26" i="1"/>
  <c r="F33" i="1"/>
  <c r="F32" i="1"/>
  <c r="F43" i="1"/>
  <c r="F24" i="1"/>
  <c r="F56" i="1"/>
  <c r="D26" i="1"/>
  <c r="D33" i="1"/>
  <c r="D32" i="1"/>
  <c r="D43" i="1"/>
  <c r="D24" i="1"/>
  <c r="D56" i="1"/>
  <c r="D57" i="1"/>
  <c r="M56" i="1"/>
  <c r="M24" i="1"/>
  <c r="P24" i="1" s="1"/>
  <c r="S32" i="1"/>
  <c r="M43" i="1"/>
  <c r="M32" i="1"/>
  <c r="M33" i="1"/>
  <c r="S33" i="1"/>
  <c r="M26" i="1"/>
  <c r="S26" i="1"/>
  <c r="L30" i="1" l="1"/>
  <c r="M30" i="1"/>
  <c r="S30" i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2" i="1"/>
  <c r="F23" i="1"/>
  <c r="F25" i="1"/>
  <c r="F27" i="1"/>
  <c r="F28" i="1"/>
  <c r="F29" i="1"/>
  <c r="F31" i="1"/>
  <c r="F34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F52" i="1"/>
  <c r="F53" i="1"/>
  <c r="F54" i="1"/>
  <c r="F55" i="1"/>
  <c r="F57" i="1"/>
  <c r="F14" i="1"/>
  <c r="F21" i="1"/>
  <c r="F30" i="1"/>
  <c r="G30" i="1"/>
  <c r="H30" i="1" s="1"/>
  <c r="G21" i="1"/>
  <c r="H21" i="1" s="1"/>
  <c r="G14" i="1"/>
  <c r="H14" i="1" s="1"/>
  <c r="D3" i="1"/>
  <c r="D4" i="1"/>
  <c r="D5" i="1"/>
  <c r="D6" i="1"/>
  <c r="D7" i="1"/>
  <c r="D8" i="1"/>
  <c r="D9" i="1"/>
  <c r="R9" i="1" s="1"/>
  <c r="D10" i="1"/>
  <c r="D11" i="1"/>
  <c r="D12" i="1"/>
  <c r="R12" i="1" s="1"/>
  <c r="D13" i="1"/>
  <c r="D15" i="1"/>
  <c r="D16" i="1"/>
  <c r="D17" i="1"/>
  <c r="D18" i="1"/>
  <c r="D19" i="1"/>
  <c r="D20" i="1"/>
  <c r="D22" i="1"/>
  <c r="D23" i="1"/>
  <c r="D25" i="1"/>
  <c r="D27" i="1"/>
  <c r="D28" i="1"/>
  <c r="D29" i="1"/>
  <c r="D31" i="1"/>
  <c r="D34" i="1"/>
  <c r="D35" i="1"/>
  <c r="D36" i="1"/>
  <c r="D37" i="1"/>
  <c r="D38" i="1"/>
  <c r="D39" i="1"/>
  <c r="D40" i="1"/>
  <c r="D41" i="1"/>
  <c r="D42" i="1"/>
  <c r="D44" i="1"/>
  <c r="D45" i="1"/>
  <c r="D46" i="1"/>
  <c r="D47" i="1"/>
  <c r="D48" i="1"/>
  <c r="D49" i="1"/>
  <c r="D50" i="1"/>
  <c r="D51" i="1"/>
  <c r="D52" i="1"/>
  <c r="D53" i="1"/>
  <c r="D54" i="1"/>
  <c r="D55" i="1"/>
  <c r="D14" i="1"/>
  <c r="D21" i="1"/>
  <c r="D30" i="1"/>
  <c r="S21" i="1"/>
  <c r="L21" i="1"/>
  <c r="M21" i="1"/>
  <c r="S14" i="1"/>
  <c r="L14" i="1"/>
  <c r="M14" i="1"/>
  <c r="C59" i="2" l="1"/>
  <c r="B59" i="2"/>
  <c r="A59" i="2"/>
  <c r="G2" i="1"/>
  <c r="H2" i="1" s="1"/>
  <c r="S28" i="1" l="1"/>
  <c r="S29" i="1"/>
  <c r="S31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2" i="1"/>
  <c r="H22" i="1" s="1"/>
  <c r="G23" i="1"/>
  <c r="H23" i="1" s="1"/>
  <c r="G25" i="1"/>
  <c r="H25" i="1" s="1"/>
  <c r="G27" i="1"/>
  <c r="H27" i="1" s="1"/>
  <c r="G28" i="1"/>
  <c r="H28" i="1" s="1"/>
  <c r="G29" i="1"/>
  <c r="H29" i="1" s="1"/>
  <c r="G31" i="1"/>
  <c r="H31" i="1" s="1"/>
  <c r="G34" i="1"/>
  <c r="H34" i="1" s="1"/>
  <c r="G53" i="1"/>
  <c r="H53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4" i="1"/>
  <c r="H54" i="1" s="1"/>
  <c r="G55" i="1"/>
  <c r="H55" i="1" s="1"/>
  <c r="G57" i="1"/>
  <c r="H57" i="1" s="1"/>
  <c r="F2" i="1"/>
  <c r="R4" i="1"/>
  <c r="R5" i="1"/>
  <c r="R6" i="1"/>
  <c r="R8" i="1"/>
  <c r="R11" i="1"/>
  <c r="R15" i="1"/>
  <c r="R17" i="1"/>
  <c r="R19" i="1"/>
  <c r="R20" i="1"/>
  <c r="R22" i="1"/>
  <c r="R23" i="1"/>
  <c r="R25" i="1"/>
  <c r="R27" i="1"/>
  <c r="R36" i="1"/>
  <c r="R37" i="1"/>
  <c r="R38" i="1"/>
  <c r="R39" i="1"/>
  <c r="R42" i="1"/>
  <c r="R45" i="1"/>
  <c r="R46" i="1"/>
  <c r="R47" i="1"/>
  <c r="R49" i="1"/>
  <c r="R52" i="1"/>
  <c r="R54" i="1"/>
  <c r="D2" i="1"/>
  <c r="R2" i="1" s="1"/>
  <c r="R3" i="1"/>
  <c r="M5" i="1"/>
  <c r="P5" i="1" s="1"/>
  <c r="M6" i="1"/>
  <c r="P6" i="1" s="1"/>
  <c r="M7" i="1"/>
  <c r="M9" i="1"/>
  <c r="P9" i="1" s="1"/>
  <c r="M10" i="1"/>
  <c r="M11" i="1"/>
  <c r="P11" i="1" s="1"/>
  <c r="M12" i="1"/>
  <c r="P12" i="1" s="1"/>
  <c r="M15" i="1"/>
  <c r="P15" i="1" s="1"/>
  <c r="M16" i="1"/>
  <c r="M17" i="1"/>
  <c r="P17" i="1" s="1"/>
  <c r="M18" i="1"/>
  <c r="M19" i="1"/>
  <c r="P19" i="1" s="1"/>
  <c r="M20" i="1"/>
  <c r="P20" i="1" s="1"/>
  <c r="M23" i="1"/>
  <c r="P23" i="1" s="1"/>
  <c r="M25" i="1"/>
  <c r="P25" i="1" s="1"/>
  <c r="M27" i="1"/>
  <c r="P27" i="1" s="1"/>
  <c r="M35" i="1"/>
  <c r="M36" i="1"/>
  <c r="P36" i="1" s="1"/>
  <c r="M37" i="1"/>
  <c r="P37" i="1" s="1"/>
  <c r="M38" i="1"/>
  <c r="P38" i="1" s="1"/>
  <c r="M39" i="1"/>
  <c r="P39" i="1" s="1"/>
  <c r="M42" i="1"/>
  <c r="P42" i="1" s="1"/>
  <c r="M44" i="1"/>
  <c r="M45" i="1"/>
  <c r="P45" i="1" s="1"/>
  <c r="M46" i="1"/>
  <c r="P46" i="1" s="1"/>
  <c r="M47" i="1"/>
  <c r="P47" i="1" s="1"/>
  <c r="M49" i="1"/>
  <c r="P49" i="1" s="1"/>
  <c r="M50" i="1"/>
  <c r="M51" i="1"/>
  <c r="M52" i="1"/>
  <c r="P52" i="1" s="1"/>
  <c r="M54" i="1"/>
  <c r="P54" i="1" s="1"/>
  <c r="M13" i="1"/>
  <c r="M48" i="1"/>
  <c r="M29" i="1"/>
  <c r="M40" i="1"/>
  <c r="M55" i="1"/>
  <c r="M22" i="1"/>
  <c r="P22" i="1" s="1"/>
  <c r="M53" i="1"/>
  <c r="M8" i="1"/>
  <c r="P8" i="1" s="1"/>
  <c r="M4" i="1"/>
  <c r="P4" i="1" s="1"/>
  <c r="M57" i="1"/>
  <c r="M2" i="1"/>
  <c r="P2" i="1" s="1"/>
  <c r="M41" i="1"/>
  <c r="M34" i="1"/>
  <c r="M31" i="1"/>
  <c r="M28" i="1"/>
  <c r="L5" i="1"/>
  <c r="L6" i="1"/>
  <c r="L7" i="1"/>
  <c r="L9" i="1"/>
  <c r="L10" i="1"/>
  <c r="L11" i="1"/>
  <c r="L12" i="1"/>
  <c r="L15" i="1"/>
  <c r="L16" i="1"/>
  <c r="L17" i="1"/>
  <c r="L18" i="1"/>
  <c r="L19" i="1"/>
  <c r="L20" i="1"/>
  <c r="L23" i="1"/>
  <c r="L25" i="1"/>
  <c r="L27" i="1"/>
  <c r="L35" i="1"/>
  <c r="L36" i="1"/>
  <c r="L37" i="1"/>
  <c r="L38" i="1"/>
  <c r="L39" i="1"/>
  <c r="L42" i="1"/>
  <c r="L44" i="1"/>
  <c r="L45" i="1"/>
  <c r="L46" i="1"/>
  <c r="L47" i="1"/>
  <c r="L49" i="1"/>
  <c r="L50" i="1"/>
  <c r="L51" i="1"/>
  <c r="L52" i="1"/>
  <c r="L54" i="1"/>
  <c r="L13" i="1"/>
  <c r="L48" i="1"/>
  <c r="L29" i="1"/>
  <c r="L40" i="1"/>
  <c r="L55" i="1"/>
  <c r="L22" i="1"/>
  <c r="L53" i="1"/>
  <c r="L8" i="1"/>
  <c r="L4" i="1"/>
  <c r="L57" i="1"/>
  <c r="L2" i="1"/>
  <c r="L41" i="1"/>
  <c r="L34" i="1"/>
  <c r="L31" i="1"/>
  <c r="L28" i="1"/>
  <c r="S27" i="1"/>
  <c r="S34" i="1"/>
  <c r="S41" i="1"/>
  <c r="S57" i="1"/>
  <c r="S4" i="1"/>
  <c r="S8" i="1"/>
  <c r="S53" i="1"/>
  <c r="S22" i="1"/>
  <c r="S55" i="1"/>
  <c r="S40" i="1"/>
  <c r="S48" i="1"/>
  <c r="S13" i="1"/>
  <c r="M3" i="1"/>
  <c r="P3" i="1" s="1"/>
  <c r="S18" i="1" l="1"/>
  <c r="S51" i="1"/>
  <c r="S44" i="1" l="1"/>
  <c r="S10" i="1"/>
  <c r="S16" i="1"/>
  <c r="S35" i="1"/>
  <c r="S50" i="1"/>
  <c r="S7" i="1"/>
  <c r="S38" i="1" l="1"/>
  <c r="S25" i="1"/>
  <c r="S11" i="1" l="1"/>
  <c r="S20" i="1"/>
  <c r="S3" i="1"/>
  <c r="S5" i="1"/>
  <c r="S6" i="1"/>
  <c r="S9" i="1"/>
  <c r="S12" i="1"/>
  <c r="S15" i="1"/>
  <c r="S17" i="1"/>
  <c r="S19" i="1"/>
  <c r="S23" i="1"/>
  <c r="S36" i="1"/>
  <c r="S37" i="1"/>
  <c r="S39" i="1"/>
  <c r="S42" i="1"/>
  <c r="S45" i="1"/>
  <c r="S46" i="1"/>
  <c r="S47" i="1"/>
  <c r="S49" i="1"/>
  <c r="S52" i="1"/>
  <c r="S54" i="1"/>
  <c r="G3" i="1" l="1"/>
  <c r="H3" i="1" s="1"/>
  <c r="L3" i="1"/>
  <c r="B1048550" i="1" l="1"/>
  <c r="M1048550" i="1" l="1"/>
</calcChain>
</file>

<file path=xl/sharedStrings.xml><?xml version="1.0" encoding="utf-8"?>
<sst xmlns="http://schemas.openxmlformats.org/spreadsheetml/2006/main" count="76" uniqueCount="76">
  <si>
    <t>Igrač</t>
  </si>
  <si>
    <t>Novaković Mladen</t>
  </si>
  <si>
    <t>Autogolovi</t>
  </si>
  <si>
    <t>Panić Zoran</t>
  </si>
  <si>
    <t>Korunović Momir</t>
  </si>
  <si>
    <t>Utakmice</t>
  </si>
  <si>
    <t>Golovi</t>
  </si>
  <si>
    <t>Golovi po utakmici</t>
  </si>
  <si>
    <t>Asistencije</t>
  </si>
  <si>
    <t>Asistencije po utakmici</t>
  </si>
  <si>
    <t>Asistencije+golovi</t>
  </si>
  <si>
    <t>Asistencije+ golovi po utakmici</t>
  </si>
  <si>
    <t>Pobede</t>
  </si>
  <si>
    <t>Nerešeno</t>
  </si>
  <si>
    <t>Porazi</t>
  </si>
  <si>
    <t>Bodovi</t>
  </si>
  <si>
    <t>Bodovi po utakmici</t>
  </si>
  <si>
    <t>Radosavljević Nikola</t>
  </si>
  <si>
    <t>Nikolić Miloš</t>
  </si>
  <si>
    <t>Banković Slobodan</t>
  </si>
  <si>
    <t>Milošević Zoran</t>
  </si>
  <si>
    <t>Hadžibulić Nedim</t>
  </si>
  <si>
    <t>Igrutinović Marko</t>
  </si>
  <si>
    <t>Radosavljević Igor</t>
  </si>
  <si>
    <t>Terzić Veljko</t>
  </si>
  <si>
    <t>Savić Nemanja</t>
  </si>
  <si>
    <t>Đorđević Stefan</t>
  </si>
  <si>
    <t>Ćirić Stefan</t>
  </si>
  <si>
    <t>Gnjidić Milan</t>
  </si>
  <si>
    <t>Radosavljević Pavle</t>
  </si>
  <si>
    <t>Stambolić Antonije</t>
  </si>
  <si>
    <t>Atanasković Dragan</t>
  </si>
  <si>
    <t>Drobnjak Aleksandar</t>
  </si>
  <si>
    <t>Bundalo Mladen</t>
  </si>
  <si>
    <t>Milinković Aleksandar</t>
  </si>
  <si>
    <t>Grkinić Ognjen</t>
  </si>
  <si>
    <t>Test kolona</t>
  </si>
  <si>
    <t>Diligenski Ivan</t>
  </si>
  <si>
    <t>Prosek prošle sezone</t>
  </si>
  <si>
    <t>Bodovna razlika u odnosu na prošlu sezonu</t>
  </si>
  <si>
    <t>Klikovac Draško</t>
  </si>
  <si>
    <t>Elvedin</t>
  </si>
  <si>
    <t>Spale</t>
  </si>
  <si>
    <t>Bundalo Nikola</t>
  </si>
  <si>
    <t>Denda Bogdan</t>
  </si>
  <si>
    <t>Petar Bogdanov</t>
  </si>
  <si>
    <t>Prosek golova prošle sezone</t>
  </si>
  <si>
    <t>Razlika u proseku golova u odnosu na prošlu sezonu</t>
  </si>
  <si>
    <t>Spaskovski Nebojša</t>
  </si>
  <si>
    <t>Grkinić Miljan</t>
  </si>
  <si>
    <t>Milić Budimir</t>
  </si>
  <si>
    <t>Utakmice bez upisane statistike</t>
  </si>
  <si>
    <t>Đinđić Goran</t>
  </si>
  <si>
    <t>Ristić Siniša</t>
  </si>
  <si>
    <t>Kum Đinđićev</t>
  </si>
  <si>
    <t>Ortak Mladena Bundala</t>
  </si>
  <si>
    <t>Varga</t>
  </si>
  <si>
    <t>Igrutinović Antonije</t>
  </si>
  <si>
    <t>Ćakić Vujadin</t>
  </si>
  <si>
    <t>Balać Nemanja</t>
  </si>
  <si>
    <t>Živković Nebojša</t>
  </si>
  <si>
    <t>Agbaba Stevan</t>
  </si>
  <si>
    <t>Ortak Nikole Bundala</t>
  </si>
  <si>
    <t>Mateja</t>
  </si>
  <si>
    <t>Ledeni</t>
  </si>
  <si>
    <t>Krstić Miloš</t>
  </si>
  <si>
    <t>Šutanovac Mikica</t>
  </si>
  <si>
    <t>Đorđević Siniša</t>
  </si>
  <si>
    <t>Kutni Dušan</t>
  </si>
  <si>
    <t>Kolega Vlada</t>
  </si>
  <si>
    <t>Marjanović Milan</t>
  </si>
  <si>
    <t>Marjanović Jovan</t>
  </si>
  <si>
    <t>Pavle Balaćev sestrić</t>
  </si>
  <si>
    <t>Jerinić Pavle</t>
  </si>
  <si>
    <t>Vlačina Ognjen</t>
  </si>
  <si>
    <t>Ignjatović Miloš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</si>
</sst>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0" borderId="0" xfId="0" applyFont="1"/>
    <xf numFmtId="2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F063-DCF1-4A36-929E-E1F1EDF54FF3}">
  <dimension ref="A1:T1048576"/>
  <sheetViews>
    <sheetView tabSelected="1" zoomScale="70" zoomScaleNormal="70" workbookViewId="0"/>
  </sheetViews>
  <sheetFormatPr defaultRowHeight="15" x14ac:dyDescent="0.25"/>
  <cols>
    <col min="1" max="1" width="20.7109375" customWidth="1"/>
    <col min="2" max="2" width="11" customWidth="1"/>
    <col min="3" max="3" width="6.7109375" customWidth="1"/>
    <col min="4" max="4" width="17.7109375" customWidth="1"/>
    <col min="5" max="5" width="10.85546875" style="5" customWidth="1"/>
    <col min="6" max="6" width="21.42578125" customWidth="1"/>
    <col min="7" max="7" width="17" style="5" customWidth="1"/>
    <col min="8" max="8" width="17" style="1" customWidth="1"/>
    <col min="9" max="9" width="9.140625" customWidth="1"/>
    <col min="10" max="10" width="10" customWidth="1"/>
    <col min="11" max="11" width="9.140625" customWidth="1"/>
    <col min="12" max="12" width="7.140625" customWidth="1"/>
    <col min="13" max="13" width="18.140625" style="1" customWidth="1"/>
    <col min="14" max="14" width="10.7109375" customWidth="1"/>
    <col min="15" max="15" width="11.85546875" style="1" customWidth="1"/>
    <col min="16" max="18" width="19.140625" customWidth="1"/>
    <col min="19" max="19" width="9.140625" customWidth="1"/>
    <col min="20" max="20" width="15.85546875" customWidth="1"/>
  </cols>
  <sheetData>
    <row r="1" spans="1:20" s="2" customFormat="1" ht="47.25" customHeight="1" x14ac:dyDescent="0.25">
      <c r="A1" s="8" t="s">
        <v>0</v>
      </c>
      <c r="B1" s="2" t="s">
        <v>5</v>
      </c>
      <c r="C1" s="2" t="s">
        <v>6</v>
      </c>
      <c r="D1" s="8" t="s">
        <v>7</v>
      </c>
      <c r="E1" s="4" t="s">
        <v>8</v>
      </c>
      <c r="F1" s="2" t="s">
        <v>9</v>
      </c>
      <c r="G1" s="4" t="s">
        <v>10</v>
      </c>
      <c r="H1" s="3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7" t="s">
        <v>16</v>
      </c>
      <c r="N1" s="2" t="s">
        <v>2</v>
      </c>
      <c r="O1" s="3" t="s">
        <v>38</v>
      </c>
      <c r="P1" s="2" t="s">
        <v>39</v>
      </c>
      <c r="Q1" s="2" t="s">
        <v>46</v>
      </c>
      <c r="R1" s="2" t="s">
        <v>47</v>
      </c>
      <c r="S1" s="2" t="s">
        <v>36</v>
      </c>
      <c r="T1" s="2" t="s">
        <v>51</v>
      </c>
    </row>
    <row r="2" spans="1:20" x14ac:dyDescent="0.25">
      <c r="A2" s="6" t="s">
        <v>61</v>
      </c>
      <c r="B2">
        <v>2</v>
      </c>
      <c r="C2">
        <v>0</v>
      </c>
      <c r="D2" s="1">
        <f>C2/(B2-T2)</f>
        <v>0</v>
      </c>
      <c r="E2" s="5">
        <v>1</v>
      </c>
      <c r="F2" s="1">
        <f>E2/(B2-T2)</f>
        <v>0.5</v>
      </c>
      <c r="G2" s="5">
        <f>C2+E2</f>
        <v>1</v>
      </c>
      <c r="H2" s="1">
        <f>G2/(B2-T2)</f>
        <v>0.5</v>
      </c>
      <c r="I2">
        <v>0</v>
      </c>
      <c r="J2">
        <v>1</v>
      </c>
      <c r="K2">
        <v>1</v>
      </c>
      <c r="L2">
        <f>3*I2+1*J2</f>
        <v>1</v>
      </c>
      <c r="M2" s="1">
        <f>(3*I2+1*J2)/B2</f>
        <v>0.5</v>
      </c>
      <c r="N2">
        <v>0</v>
      </c>
      <c r="O2" s="1">
        <v>1.38</v>
      </c>
      <c r="P2" s="1">
        <f>M2-O2</f>
        <v>-0.87999999999999989</v>
      </c>
      <c r="Q2">
        <v>0.81</v>
      </c>
      <c r="R2" s="1">
        <f>D2-Q2</f>
        <v>-0.81</v>
      </c>
      <c r="S2">
        <f>B2-I2-J2-K2</f>
        <v>0</v>
      </c>
      <c r="T2">
        <v>0</v>
      </c>
    </row>
    <row r="3" spans="1:20" x14ac:dyDescent="0.25">
      <c r="A3" s="6" t="s">
        <v>31</v>
      </c>
      <c r="B3">
        <v>12</v>
      </c>
      <c r="C3">
        <v>8</v>
      </c>
      <c r="D3" s="1">
        <f>C3/(B3-T3)</f>
        <v>0.72727272727272729</v>
      </c>
      <c r="E3" s="5">
        <v>6</v>
      </c>
      <c r="F3" s="1">
        <f>E3/(B3-T3)</f>
        <v>0.54545454545454541</v>
      </c>
      <c r="G3" s="5">
        <f>C3+E3</f>
        <v>14</v>
      </c>
      <c r="H3" s="1">
        <f>G3/(B3-T3)</f>
        <v>1.2727272727272727</v>
      </c>
      <c r="I3">
        <v>5</v>
      </c>
      <c r="J3">
        <v>1</v>
      </c>
      <c r="K3">
        <v>6</v>
      </c>
      <c r="L3">
        <f>3*I3+1*J3</f>
        <v>16</v>
      </c>
      <c r="M3" s="1">
        <f>(3*I3+1*J3)/B3</f>
        <v>1.3333333333333333</v>
      </c>
      <c r="N3">
        <v>0</v>
      </c>
      <c r="O3" s="1">
        <v>1.68</v>
      </c>
      <c r="P3" s="1">
        <f>M3-O3</f>
        <v>-0.34666666666666668</v>
      </c>
      <c r="Q3" s="1">
        <v>0.57999999999999996</v>
      </c>
      <c r="R3" s="1">
        <f>D3-Q3</f>
        <v>0.14727272727272733</v>
      </c>
      <c r="S3">
        <f>B3-I3-J3-K3</f>
        <v>0</v>
      </c>
      <c r="T3">
        <v>1</v>
      </c>
    </row>
    <row r="4" spans="1:20" x14ac:dyDescent="0.25">
      <c r="A4" s="6" t="s">
        <v>59</v>
      </c>
      <c r="B4">
        <v>1</v>
      </c>
      <c r="C4">
        <v>1</v>
      </c>
      <c r="D4" s="1">
        <f>C4/(B4-T4)</f>
        <v>1</v>
      </c>
      <c r="E4" s="5">
        <v>0</v>
      </c>
      <c r="F4" s="1">
        <f>E4/(B4-T4)</f>
        <v>0</v>
      </c>
      <c r="G4" s="5">
        <f>C4+E4</f>
        <v>1</v>
      </c>
      <c r="H4" s="1">
        <f>G4/(B4-T4)</f>
        <v>1</v>
      </c>
      <c r="I4">
        <v>1</v>
      </c>
      <c r="J4">
        <v>0</v>
      </c>
      <c r="K4">
        <v>0</v>
      </c>
      <c r="L4">
        <f>3*I4+1*J4</f>
        <v>3</v>
      </c>
      <c r="M4" s="1">
        <f>(3*I4+1*J4)/B4</f>
        <v>3</v>
      </c>
      <c r="N4">
        <v>0</v>
      </c>
      <c r="O4" s="1">
        <v>0.25</v>
      </c>
      <c r="P4" s="1">
        <f>M4-O4</f>
        <v>2.75</v>
      </c>
      <c r="Q4" s="1">
        <v>1</v>
      </c>
      <c r="R4" s="1">
        <f>D4-Q4</f>
        <v>0</v>
      </c>
      <c r="S4">
        <f>B4-I4-J4-K4</f>
        <v>0</v>
      </c>
      <c r="T4">
        <v>0</v>
      </c>
    </row>
    <row r="5" spans="1:20" x14ac:dyDescent="0.25">
      <c r="A5" t="s">
        <v>19</v>
      </c>
      <c r="B5">
        <v>13</v>
      </c>
      <c r="C5">
        <v>14</v>
      </c>
      <c r="D5" s="1">
        <f>C5/(B5-T5)</f>
        <v>1.0769230769230769</v>
      </c>
      <c r="E5" s="5">
        <v>0</v>
      </c>
      <c r="F5" s="1">
        <f>E5/(B5-T5)</f>
        <v>0</v>
      </c>
      <c r="G5" s="5">
        <f>C5+E5</f>
        <v>14</v>
      </c>
      <c r="H5" s="1">
        <f>G5/(B5-T5)</f>
        <v>1.0769230769230769</v>
      </c>
      <c r="I5">
        <v>6</v>
      </c>
      <c r="J5">
        <v>2</v>
      </c>
      <c r="K5">
        <v>5</v>
      </c>
      <c r="L5">
        <f>3*I5+1*J5</f>
        <v>20</v>
      </c>
      <c r="M5" s="1">
        <f>(3*I5+1*J5)/B5</f>
        <v>1.5384615384615385</v>
      </c>
      <c r="N5">
        <v>0</v>
      </c>
      <c r="O5" s="1">
        <v>1.17</v>
      </c>
      <c r="P5" s="1">
        <f>M5-O5</f>
        <v>0.36846153846153862</v>
      </c>
      <c r="Q5" s="1">
        <v>0.5</v>
      </c>
      <c r="R5" s="1">
        <f>D5-Q5</f>
        <v>0.57692307692307687</v>
      </c>
      <c r="S5">
        <f>B5-I5-J5-K5</f>
        <v>0</v>
      </c>
      <c r="T5">
        <v>0</v>
      </c>
    </row>
    <row r="6" spans="1:20" x14ac:dyDescent="0.25">
      <c r="A6" t="s">
        <v>33</v>
      </c>
      <c r="B6">
        <v>19</v>
      </c>
      <c r="C6">
        <v>18</v>
      </c>
      <c r="D6" s="1">
        <f>C6/(B6-T6)</f>
        <v>1.0588235294117647</v>
      </c>
      <c r="E6" s="5">
        <v>10</v>
      </c>
      <c r="F6" s="1">
        <f>E6/(B6-T6)</f>
        <v>0.58823529411764708</v>
      </c>
      <c r="G6" s="5">
        <f>C6+E6</f>
        <v>28</v>
      </c>
      <c r="H6" s="1">
        <f>G6/(B6-T6)</f>
        <v>1.6470588235294117</v>
      </c>
      <c r="I6">
        <v>10</v>
      </c>
      <c r="J6">
        <v>1</v>
      </c>
      <c r="K6">
        <v>8</v>
      </c>
      <c r="L6">
        <f>3*I6+1*J6</f>
        <v>31</v>
      </c>
      <c r="M6" s="1">
        <f>(3*I6+1*J6)/B6</f>
        <v>1.631578947368421</v>
      </c>
      <c r="N6">
        <v>1</v>
      </c>
      <c r="O6" s="1">
        <v>1.3</v>
      </c>
      <c r="P6" s="1">
        <f>M6-O6</f>
        <v>0.33157894736842097</v>
      </c>
      <c r="Q6" s="1">
        <v>1.1499999999999999</v>
      </c>
      <c r="R6" s="1">
        <f>D6-Q6</f>
        <v>-9.1176470588235192E-2</v>
      </c>
      <c r="S6">
        <f>B6-I6-J6-K6</f>
        <v>0</v>
      </c>
      <c r="T6">
        <v>2</v>
      </c>
    </row>
    <row r="7" spans="1:20" x14ac:dyDescent="0.25">
      <c r="A7" s="6" t="s">
        <v>43</v>
      </c>
      <c r="B7">
        <v>15</v>
      </c>
      <c r="C7">
        <v>39</v>
      </c>
      <c r="D7" s="1">
        <f>C7/(B7-T7)</f>
        <v>2.6</v>
      </c>
      <c r="E7" s="5">
        <v>6</v>
      </c>
      <c r="F7" s="1">
        <f>E7/(B7-T7)</f>
        <v>0.4</v>
      </c>
      <c r="G7" s="5">
        <f>C7+E7</f>
        <v>45</v>
      </c>
      <c r="H7" s="1">
        <f>G7/(B7-T7)</f>
        <v>3</v>
      </c>
      <c r="I7">
        <v>9</v>
      </c>
      <c r="J7">
        <v>2</v>
      </c>
      <c r="K7">
        <v>4</v>
      </c>
      <c r="L7">
        <f>3*I7+1*J7</f>
        <v>29</v>
      </c>
      <c r="M7" s="1">
        <f>(3*I7+1*J7)/B7</f>
        <v>1.9333333333333333</v>
      </c>
      <c r="N7">
        <v>0</v>
      </c>
      <c r="P7" s="1"/>
      <c r="Q7" s="1"/>
      <c r="R7" s="1"/>
      <c r="S7">
        <f>B7-I7-J7-K7</f>
        <v>0</v>
      </c>
      <c r="T7">
        <v>0</v>
      </c>
    </row>
    <row r="8" spans="1:20" x14ac:dyDescent="0.25">
      <c r="A8" s="6" t="s">
        <v>58</v>
      </c>
      <c r="B8">
        <v>2</v>
      </c>
      <c r="C8">
        <v>0</v>
      </c>
      <c r="D8" s="1">
        <f>C8/(B8-T8)</f>
        <v>0</v>
      </c>
      <c r="E8" s="5">
        <v>3</v>
      </c>
      <c r="F8" s="1">
        <f>E8/(B8-T8)</f>
        <v>1.5</v>
      </c>
      <c r="G8" s="5">
        <f>C8+E8</f>
        <v>3</v>
      </c>
      <c r="H8" s="1">
        <f>G8/(B8-T8)</f>
        <v>1.5</v>
      </c>
      <c r="I8">
        <v>2</v>
      </c>
      <c r="J8">
        <v>0</v>
      </c>
      <c r="K8">
        <v>0</v>
      </c>
      <c r="L8">
        <f>3*I8+1*J8</f>
        <v>6</v>
      </c>
      <c r="M8" s="1">
        <f>(3*I8+1*J8)/B8</f>
        <v>3</v>
      </c>
      <c r="N8">
        <v>0</v>
      </c>
      <c r="O8" s="1">
        <v>2.33</v>
      </c>
      <c r="P8" s="1">
        <f>M8-O8</f>
        <v>0.66999999999999993</v>
      </c>
      <c r="Q8" s="1">
        <v>0.67</v>
      </c>
      <c r="R8" s="1">
        <f>D8-Q8</f>
        <v>-0.67</v>
      </c>
      <c r="S8">
        <f>B8-I8-J8-K8</f>
        <v>0</v>
      </c>
      <c r="T8">
        <v>0</v>
      </c>
    </row>
    <row r="9" spans="1:20" x14ac:dyDescent="0.25">
      <c r="A9" s="6" t="s">
        <v>27</v>
      </c>
      <c r="B9">
        <v>9</v>
      </c>
      <c r="C9">
        <v>10</v>
      </c>
      <c r="D9" s="1">
        <f>C9/(B9-T9)</f>
        <v>1.1111111111111112</v>
      </c>
      <c r="E9" s="5">
        <v>5</v>
      </c>
      <c r="F9" s="1">
        <f>E9/(B9-T9)</f>
        <v>0.55555555555555558</v>
      </c>
      <c r="G9" s="5">
        <f>C9+E9</f>
        <v>15</v>
      </c>
      <c r="H9" s="1">
        <f>G9/(B9-T9)</f>
        <v>1.6666666666666667</v>
      </c>
      <c r="I9">
        <v>3</v>
      </c>
      <c r="J9">
        <v>0</v>
      </c>
      <c r="K9">
        <v>6</v>
      </c>
      <c r="L9">
        <f>3*I9+1*J9</f>
        <v>9</v>
      </c>
      <c r="M9" s="1">
        <f>(3*I9+1*J9)/B9</f>
        <v>1</v>
      </c>
      <c r="N9">
        <v>1</v>
      </c>
      <c r="O9" s="1">
        <v>1.56</v>
      </c>
      <c r="P9" s="1">
        <f>M9-O9</f>
        <v>-0.56000000000000005</v>
      </c>
      <c r="Q9" s="1">
        <v>1.44</v>
      </c>
      <c r="R9" s="1">
        <f>D9-Q9</f>
        <v>-0.32888888888888879</v>
      </c>
      <c r="S9">
        <f>B9-I9-J9-K9</f>
        <v>0</v>
      </c>
      <c r="T9">
        <v>0</v>
      </c>
    </row>
    <row r="10" spans="1:20" x14ac:dyDescent="0.25">
      <c r="A10" s="6" t="s">
        <v>44</v>
      </c>
      <c r="B10">
        <v>4</v>
      </c>
      <c r="C10">
        <v>5</v>
      </c>
      <c r="D10" s="1">
        <f>C10/(B10-T10)</f>
        <v>1.25</v>
      </c>
      <c r="E10" s="5">
        <v>1</v>
      </c>
      <c r="F10" s="1">
        <f>E10/(B10-T10)</f>
        <v>0.25</v>
      </c>
      <c r="G10" s="5">
        <f>C10+E10</f>
        <v>6</v>
      </c>
      <c r="H10" s="1">
        <f>G10/(B10-T10)</f>
        <v>1.5</v>
      </c>
      <c r="I10">
        <v>1</v>
      </c>
      <c r="J10">
        <v>0</v>
      </c>
      <c r="K10">
        <v>3</v>
      </c>
      <c r="L10">
        <f>3*I10+1*J10</f>
        <v>3</v>
      </c>
      <c r="M10" s="1">
        <f>(3*I10+1*J10)/B10</f>
        <v>0.75</v>
      </c>
      <c r="N10">
        <v>0</v>
      </c>
      <c r="P10" s="1"/>
      <c r="Q10" s="1"/>
      <c r="R10" s="1"/>
      <c r="S10">
        <f>B10-I10-J10-K10</f>
        <v>0</v>
      </c>
      <c r="T10">
        <v>0</v>
      </c>
    </row>
    <row r="11" spans="1:20" x14ac:dyDescent="0.25">
      <c r="A11" s="6" t="s">
        <v>37</v>
      </c>
      <c r="B11">
        <v>29</v>
      </c>
      <c r="C11">
        <v>18</v>
      </c>
      <c r="D11" s="1">
        <f>C11/(B11-T11)</f>
        <v>0.62068965517241381</v>
      </c>
      <c r="E11" s="5">
        <v>15</v>
      </c>
      <c r="F11" s="1">
        <f>E11/(B11-T11)</f>
        <v>0.51724137931034486</v>
      </c>
      <c r="G11" s="5">
        <f>C11+E11</f>
        <v>33</v>
      </c>
      <c r="H11" s="1">
        <f>G11/(B11-T11)</f>
        <v>1.1379310344827587</v>
      </c>
      <c r="I11">
        <v>14</v>
      </c>
      <c r="J11">
        <v>2</v>
      </c>
      <c r="K11">
        <v>13</v>
      </c>
      <c r="L11">
        <f>3*I11+1*J11</f>
        <v>44</v>
      </c>
      <c r="M11" s="1">
        <f>(3*I11+1*J11)/B11</f>
        <v>1.5172413793103448</v>
      </c>
      <c r="N11">
        <v>1</v>
      </c>
      <c r="O11" s="1">
        <v>2</v>
      </c>
      <c r="P11" s="1">
        <f>M11-O11</f>
        <v>-0.48275862068965525</v>
      </c>
      <c r="Q11" s="1">
        <v>0.5</v>
      </c>
      <c r="R11" s="1">
        <f>D11-Q11</f>
        <v>0.12068965517241381</v>
      </c>
      <c r="S11">
        <f>B11-I11-J11-K11</f>
        <v>0</v>
      </c>
      <c r="T11">
        <v>0</v>
      </c>
    </row>
    <row r="12" spans="1:20" x14ac:dyDescent="0.25">
      <c r="A12" s="6" t="s">
        <v>32</v>
      </c>
      <c r="B12">
        <v>4</v>
      </c>
      <c r="C12">
        <v>7</v>
      </c>
      <c r="D12" s="1">
        <f>C12/(B12-T12)</f>
        <v>1.75</v>
      </c>
      <c r="E12" s="5">
        <v>8</v>
      </c>
      <c r="F12" s="1">
        <f>E12/(B12-T12)</f>
        <v>2</v>
      </c>
      <c r="G12" s="5">
        <f>C12+E12</f>
        <v>15</v>
      </c>
      <c r="H12" s="1">
        <f>G12/(B12-T12)</f>
        <v>3.75</v>
      </c>
      <c r="I12">
        <v>3</v>
      </c>
      <c r="J12">
        <v>0</v>
      </c>
      <c r="K12">
        <v>1</v>
      </c>
      <c r="L12">
        <f>3*I12+1*J12</f>
        <v>9</v>
      </c>
      <c r="M12" s="1">
        <f>(3*I12+1*J12)/B12</f>
        <v>2.25</v>
      </c>
      <c r="N12">
        <v>0</v>
      </c>
      <c r="O12" s="1">
        <v>3</v>
      </c>
      <c r="P12" s="1">
        <f>M12-O12</f>
        <v>-0.75</v>
      </c>
      <c r="Q12" s="1">
        <v>4</v>
      </c>
      <c r="R12" s="1">
        <f>D12-Q12</f>
        <v>-2.25</v>
      </c>
      <c r="S12">
        <f>B12-I12-J12-K12</f>
        <v>0</v>
      </c>
      <c r="T12">
        <v>0</v>
      </c>
    </row>
    <row r="13" spans="1:20" x14ac:dyDescent="0.25">
      <c r="A13" s="6" t="s">
        <v>52</v>
      </c>
      <c r="B13">
        <v>4</v>
      </c>
      <c r="C13">
        <v>2</v>
      </c>
      <c r="D13" s="1">
        <f>C13/(B13-T13)</f>
        <v>1</v>
      </c>
      <c r="E13" s="5">
        <v>1</v>
      </c>
      <c r="F13" s="1">
        <f>E13/(B13-T13)</f>
        <v>0.5</v>
      </c>
      <c r="G13" s="5">
        <f>C13+E13</f>
        <v>3</v>
      </c>
      <c r="H13" s="1">
        <f>G13/(B13-T13)</f>
        <v>1.5</v>
      </c>
      <c r="I13">
        <v>3</v>
      </c>
      <c r="J13">
        <v>1</v>
      </c>
      <c r="K13">
        <v>0</v>
      </c>
      <c r="L13">
        <f>3*I13+1*J13</f>
        <v>10</v>
      </c>
      <c r="M13" s="1">
        <f>(3*I13+1*J13)/B13</f>
        <v>2.5</v>
      </c>
      <c r="N13">
        <v>0</v>
      </c>
      <c r="P13" s="1"/>
      <c r="R13" s="1"/>
      <c r="S13">
        <f>B13-I13-J13-K13</f>
        <v>0</v>
      </c>
      <c r="T13">
        <v>2</v>
      </c>
    </row>
    <row r="14" spans="1:20" x14ac:dyDescent="0.25">
      <c r="A14" s="6" t="s">
        <v>67</v>
      </c>
      <c r="B14">
        <v>12</v>
      </c>
      <c r="C14">
        <v>3</v>
      </c>
      <c r="D14" s="1">
        <f>C14/(B14-T14)</f>
        <v>0.25</v>
      </c>
      <c r="E14" s="5">
        <v>3</v>
      </c>
      <c r="F14" s="1">
        <f>E14/(B14-T14)</f>
        <v>0.25</v>
      </c>
      <c r="G14" s="5">
        <f>C14+E14</f>
        <v>6</v>
      </c>
      <c r="H14" s="1">
        <f>G14/(B14-T14)</f>
        <v>0.5</v>
      </c>
      <c r="I14">
        <v>6</v>
      </c>
      <c r="J14">
        <v>1</v>
      </c>
      <c r="K14">
        <v>5</v>
      </c>
      <c r="L14">
        <f>3*I14+1*J14</f>
        <v>19</v>
      </c>
      <c r="M14" s="1">
        <f>(3*I14+1*J14)/B14</f>
        <v>1.5833333333333333</v>
      </c>
      <c r="N14">
        <v>0</v>
      </c>
      <c r="S14">
        <f>B14-I14-J14-K14</f>
        <v>0</v>
      </c>
      <c r="T14">
        <v>0</v>
      </c>
    </row>
    <row r="15" spans="1:20" x14ac:dyDescent="0.25">
      <c r="A15" s="6" t="s">
        <v>26</v>
      </c>
      <c r="B15">
        <v>31</v>
      </c>
      <c r="C15">
        <v>43</v>
      </c>
      <c r="D15" s="1">
        <f>C15/(B15-T15)</f>
        <v>1.3870967741935485</v>
      </c>
      <c r="E15" s="5">
        <v>32</v>
      </c>
      <c r="F15" s="1">
        <f>E15/(B15-T15)</f>
        <v>1.032258064516129</v>
      </c>
      <c r="G15" s="5">
        <f>C15+E15</f>
        <v>75</v>
      </c>
      <c r="H15" s="1">
        <f>G15/(B15-T15)</f>
        <v>2.4193548387096775</v>
      </c>
      <c r="I15">
        <v>8</v>
      </c>
      <c r="J15">
        <v>3</v>
      </c>
      <c r="K15">
        <v>20</v>
      </c>
      <c r="L15">
        <f>3*I15+1*J15</f>
        <v>27</v>
      </c>
      <c r="M15" s="1">
        <f>(3*I15+1*J15)/B15</f>
        <v>0.87096774193548387</v>
      </c>
      <c r="N15">
        <v>1</v>
      </c>
      <c r="O15" s="1">
        <v>1.69</v>
      </c>
      <c r="P15" s="1">
        <f>M15-O15</f>
        <v>-0.81903225806451607</v>
      </c>
      <c r="Q15" s="1">
        <v>1.25</v>
      </c>
      <c r="R15" s="1">
        <f>D15-Q15</f>
        <v>0.13709677419354849</v>
      </c>
      <c r="S15">
        <f>B15-I15-J15-K15</f>
        <v>0</v>
      </c>
      <c r="T15">
        <v>0</v>
      </c>
    </row>
    <row r="16" spans="1:20" x14ac:dyDescent="0.25">
      <c r="A16" s="6" t="s">
        <v>41</v>
      </c>
      <c r="B16">
        <v>2</v>
      </c>
      <c r="C16">
        <v>3</v>
      </c>
      <c r="D16" s="1">
        <f>C16/(B16-T16)</f>
        <v>1.5</v>
      </c>
      <c r="E16" s="5">
        <v>0</v>
      </c>
      <c r="F16" s="1">
        <f>E16/(B16-T16)</f>
        <v>0</v>
      </c>
      <c r="G16" s="5">
        <f>C16+E16</f>
        <v>3</v>
      </c>
      <c r="H16" s="1">
        <f>G16/(B16-T16)</f>
        <v>1.5</v>
      </c>
      <c r="I16">
        <v>0</v>
      </c>
      <c r="J16">
        <v>0</v>
      </c>
      <c r="K16">
        <v>2</v>
      </c>
      <c r="L16">
        <f>3*I16+1*J16</f>
        <v>0</v>
      </c>
      <c r="M16" s="1">
        <f>(3*I16+1*J16)/B16</f>
        <v>0</v>
      </c>
      <c r="N16">
        <v>0</v>
      </c>
      <c r="P16" s="1"/>
      <c r="Q16" s="1"/>
      <c r="R16" s="1"/>
      <c r="S16">
        <f>B16-I16-J16-K16</f>
        <v>0</v>
      </c>
      <c r="T16">
        <v>0</v>
      </c>
    </row>
    <row r="17" spans="1:20" x14ac:dyDescent="0.25">
      <c r="A17" s="6" t="s">
        <v>28</v>
      </c>
      <c r="B17">
        <v>20</v>
      </c>
      <c r="C17">
        <v>30</v>
      </c>
      <c r="D17" s="1">
        <f>C17/(B17-T17)</f>
        <v>1.6666666666666667</v>
      </c>
      <c r="E17" s="5">
        <v>3</v>
      </c>
      <c r="F17" s="1">
        <f>E17/(B17-T17)</f>
        <v>0.16666666666666666</v>
      </c>
      <c r="G17" s="5">
        <f>C17+E17</f>
        <v>33</v>
      </c>
      <c r="H17" s="1">
        <f>G17/(B17-T17)</f>
        <v>1.8333333333333333</v>
      </c>
      <c r="I17">
        <v>9</v>
      </c>
      <c r="J17">
        <v>0</v>
      </c>
      <c r="K17">
        <v>11</v>
      </c>
      <c r="L17">
        <f>3*I17+1*J17</f>
        <v>27</v>
      </c>
      <c r="M17" s="1">
        <f>(3*I17+1*J17)/B17</f>
        <v>1.35</v>
      </c>
      <c r="N17">
        <v>0</v>
      </c>
      <c r="O17" s="1">
        <v>1.89</v>
      </c>
      <c r="P17" s="1">
        <f>M17-O17</f>
        <v>-0.53999999999999981</v>
      </c>
      <c r="Q17" s="1">
        <v>1.94</v>
      </c>
      <c r="R17" s="1">
        <f>D17-Q17</f>
        <v>-0.27333333333333321</v>
      </c>
      <c r="S17">
        <f>B17-I17-J17-K17</f>
        <v>0</v>
      </c>
      <c r="T17">
        <v>2</v>
      </c>
    </row>
    <row r="18" spans="1:20" x14ac:dyDescent="0.25">
      <c r="A18" s="6" t="s">
        <v>49</v>
      </c>
      <c r="B18">
        <v>21</v>
      </c>
      <c r="C18">
        <v>12</v>
      </c>
      <c r="D18" s="1">
        <f>C18/(B18-T18)</f>
        <v>0.6</v>
      </c>
      <c r="E18" s="5">
        <v>6</v>
      </c>
      <c r="F18" s="1">
        <f>E18/(B18-T18)</f>
        <v>0.3</v>
      </c>
      <c r="G18" s="5">
        <f>C18+E18</f>
        <v>18</v>
      </c>
      <c r="H18" s="1">
        <f>G18/(B18-T18)</f>
        <v>0.9</v>
      </c>
      <c r="I18">
        <v>5</v>
      </c>
      <c r="J18">
        <v>4</v>
      </c>
      <c r="K18">
        <v>12</v>
      </c>
      <c r="L18">
        <f>3*I18+1*J18</f>
        <v>19</v>
      </c>
      <c r="M18" s="1">
        <f>(3*I18+1*J18)/B18</f>
        <v>0.90476190476190477</v>
      </c>
      <c r="N18">
        <v>0</v>
      </c>
      <c r="P18" s="1"/>
      <c r="R18" s="1"/>
      <c r="S18">
        <f>B18-I18-J18-K18</f>
        <v>0</v>
      </c>
      <c r="T18">
        <v>1</v>
      </c>
    </row>
    <row r="19" spans="1:20" x14ac:dyDescent="0.25">
      <c r="A19" s="6" t="s">
        <v>35</v>
      </c>
      <c r="B19">
        <v>31</v>
      </c>
      <c r="C19">
        <v>35</v>
      </c>
      <c r="D19" s="1">
        <f>C19/(B19-T19)</f>
        <v>1.1290322580645162</v>
      </c>
      <c r="E19" s="5">
        <v>19</v>
      </c>
      <c r="F19" s="1">
        <f>E19/(B19-T19)</f>
        <v>0.61290322580645162</v>
      </c>
      <c r="G19" s="5">
        <f>C19+E19</f>
        <v>54</v>
      </c>
      <c r="H19" s="1">
        <f>G19/(B19-T19)</f>
        <v>1.7419354838709677</v>
      </c>
      <c r="I19">
        <v>17</v>
      </c>
      <c r="J19">
        <v>4</v>
      </c>
      <c r="K19">
        <v>10</v>
      </c>
      <c r="L19">
        <f>3*I19+1*J19</f>
        <v>55</v>
      </c>
      <c r="M19" s="1">
        <f>(3*I19+1*J19)/B19</f>
        <v>1.7741935483870968</v>
      </c>
      <c r="N19">
        <v>1</v>
      </c>
      <c r="O19" s="1">
        <v>1.18</v>
      </c>
      <c r="P19" s="1">
        <f>M19-O19</f>
        <v>0.59419354838709681</v>
      </c>
      <c r="Q19" s="1">
        <v>0.76</v>
      </c>
      <c r="R19" s="1">
        <f>D19-Q19</f>
        <v>0.36903225806451623</v>
      </c>
      <c r="S19">
        <f>B19-I19-J19-K19</f>
        <v>0</v>
      </c>
      <c r="T19">
        <v>0</v>
      </c>
    </row>
    <row r="20" spans="1:20" x14ac:dyDescent="0.25">
      <c r="A20" t="s">
        <v>21</v>
      </c>
      <c r="B20">
        <v>18</v>
      </c>
      <c r="C20">
        <v>31</v>
      </c>
      <c r="D20" s="1">
        <f>C20/(B20-T20)</f>
        <v>1.7222222222222223</v>
      </c>
      <c r="E20" s="5">
        <v>28</v>
      </c>
      <c r="F20" s="1">
        <f>E20/(B20-T20)</f>
        <v>1.5555555555555556</v>
      </c>
      <c r="G20" s="5">
        <f>C20+E20</f>
        <v>59</v>
      </c>
      <c r="H20" s="1">
        <f>G20/(B20-T20)</f>
        <v>3.2777777777777777</v>
      </c>
      <c r="I20">
        <v>12</v>
      </c>
      <c r="J20">
        <v>0</v>
      </c>
      <c r="K20">
        <v>6</v>
      </c>
      <c r="L20">
        <f>3*I20+1*J20</f>
        <v>36</v>
      </c>
      <c r="M20" s="1">
        <f>(3*I20+1*J20)/B20</f>
        <v>2</v>
      </c>
      <c r="N20">
        <v>2</v>
      </c>
      <c r="O20" s="1">
        <v>1.57</v>
      </c>
      <c r="P20" s="1">
        <f>M20-O20</f>
        <v>0.42999999999999994</v>
      </c>
      <c r="Q20" s="1">
        <v>0.86</v>
      </c>
      <c r="R20" s="1">
        <f>D20-Q20</f>
        <v>0.86222222222222233</v>
      </c>
      <c r="S20">
        <f>B20-I20-J20-K20</f>
        <v>0</v>
      </c>
      <c r="T20">
        <v>0</v>
      </c>
    </row>
    <row r="21" spans="1:20" x14ac:dyDescent="0.25">
      <c r="A21" s="6" t="s">
        <v>75</v>
      </c>
      <c r="B21">
        <v>9</v>
      </c>
      <c r="C21">
        <v>2</v>
      </c>
      <c r="D21" s="1">
        <f>C21/(B21-T21)</f>
        <v>0.22222222222222221</v>
      </c>
      <c r="E21" s="5">
        <v>2</v>
      </c>
      <c r="F21" s="1">
        <f>E21/(B21-T21)</f>
        <v>0.22222222222222221</v>
      </c>
      <c r="G21" s="5">
        <f>C21+E21</f>
        <v>4</v>
      </c>
      <c r="H21" s="1">
        <f>G21/(B21-T21)</f>
        <v>0.44444444444444442</v>
      </c>
      <c r="I21">
        <v>6</v>
      </c>
      <c r="J21">
        <v>0</v>
      </c>
      <c r="K21">
        <v>3</v>
      </c>
      <c r="L21">
        <f>3*I21+1*J21</f>
        <v>18</v>
      </c>
      <c r="M21" s="1">
        <f>(3*I21+1*J21)/B21</f>
        <v>2</v>
      </c>
      <c r="N21">
        <v>1</v>
      </c>
      <c r="S21">
        <f>B21-I21-J21-K21</f>
        <v>0</v>
      </c>
      <c r="T21">
        <v>0</v>
      </c>
    </row>
    <row r="22" spans="1:20" x14ac:dyDescent="0.25">
      <c r="A22" s="6" t="s">
        <v>57</v>
      </c>
      <c r="B22">
        <v>5</v>
      </c>
      <c r="C22">
        <v>4</v>
      </c>
      <c r="D22" s="1">
        <f>C22/(B22-T22)</f>
        <v>1</v>
      </c>
      <c r="E22" s="5">
        <v>0</v>
      </c>
      <c r="F22" s="1">
        <f>E22/(B22-T22)</f>
        <v>0</v>
      </c>
      <c r="G22" s="5">
        <f>C22+E22</f>
        <v>4</v>
      </c>
      <c r="H22" s="1">
        <f>G22/(B22-T22)</f>
        <v>1</v>
      </c>
      <c r="I22">
        <v>2</v>
      </c>
      <c r="J22">
        <v>0</v>
      </c>
      <c r="K22">
        <v>3</v>
      </c>
      <c r="L22">
        <f>3*I22+1*J22</f>
        <v>6</v>
      </c>
      <c r="M22" s="1">
        <f>(3*I22+1*J22)/B22</f>
        <v>1.2</v>
      </c>
      <c r="N22">
        <v>0</v>
      </c>
      <c r="O22" s="1">
        <v>1.37</v>
      </c>
      <c r="P22" s="1">
        <f>M22-O22</f>
        <v>-0.17000000000000015</v>
      </c>
      <c r="Q22" s="1">
        <v>1.79</v>
      </c>
      <c r="R22" s="1">
        <f>D22-Q22</f>
        <v>-0.79</v>
      </c>
      <c r="S22">
        <f>B22-I22-J22-K22</f>
        <v>0</v>
      </c>
      <c r="T22">
        <v>1</v>
      </c>
    </row>
    <row r="23" spans="1:20" x14ac:dyDescent="0.25">
      <c r="A23" s="6" t="s">
        <v>22</v>
      </c>
      <c r="B23">
        <v>24</v>
      </c>
      <c r="C23">
        <v>58</v>
      </c>
      <c r="D23" s="1">
        <f>C23/(B23-T23)</f>
        <v>2.5217391304347827</v>
      </c>
      <c r="E23" s="5">
        <v>5</v>
      </c>
      <c r="F23" s="1">
        <f>E23/(B23-T23)</f>
        <v>0.21739130434782608</v>
      </c>
      <c r="G23" s="5">
        <f>C23+E23</f>
        <v>63</v>
      </c>
      <c r="H23" s="1">
        <f>G23/(B23-T23)</f>
        <v>2.7391304347826089</v>
      </c>
      <c r="I23">
        <v>11</v>
      </c>
      <c r="J23">
        <v>1</v>
      </c>
      <c r="K23">
        <v>12</v>
      </c>
      <c r="L23">
        <f>3*I23+1*J23</f>
        <v>34</v>
      </c>
      <c r="M23" s="1">
        <f>(3*I23+1*J23)/B23</f>
        <v>1.4166666666666667</v>
      </c>
      <c r="N23">
        <v>1</v>
      </c>
      <c r="O23" s="1">
        <v>1.68</v>
      </c>
      <c r="P23" s="1">
        <f>M23-O23</f>
        <v>-0.2633333333333332</v>
      </c>
      <c r="Q23" s="1">
        <v>2.3199999999999998</v>
      </c>
      <c r="R23" s="1">
        <f>D23-Q23</f>
        <v>0.20173913043478287</v>
      </c>
      <c r="S23">
        <f>B23-I23-J23-K23</f>
        <v>0</v>
      </c>
      <c r="T23">
        <v>1</v>
      </c>
    </row>
    <row r="24" spans="1:20" x14ac:dyDescent="0.25">
      <c r="A24" s="6" t="s">
        <v>73</v>
      </c>
      <c r="B24">
        <v>3</v>
      </c>
      <c r="C24">
        <v>1</v>
      </c>
      <c r="D24" s="1">
        <f>C24/(B24-T24)</f>
        <v>0.33333333333333331</v>
      </c>
      <c r="E24" s="5">
        <v>1</v>
      </c>
      <c r="F24" s="1">
        <f>E24/(B24-T24)</f>
        <v>0.33333333333333331</v>
      </c>
      <c r="G24" s="5">
        <f>C24+E24</f>
        <v>2</v>
      </c>
      <c r="H24" s="1">
        <f>G24/(B24-T24)</f>
        <v>0.66666666666666663</v>
      </c>
      <c r="I24">
        <v>0</v>
      </c>
      <c r="J24">
        <v>1</v>
      </c>
      <c r="K24">
        <v>2</v>
      </c>
      <c r="L24">
        <f>3*I24+1*J24</f>
        <v>1</v>
      </c>
      <c r="M24" s="1">
        <f>(3*I24+1*J24)/B24</f>
        <v>0.33333333333333331</v>
      </c>
      <c r="N24">
        <v>0</v>
      </c>
      <c r="O24" s="1">
        <v>0.67</v>
      </c>
      <c r="P24" s="1">
        <f>M24-O24</f>
        <v>-0.33666666666666673</v>
      </c>
      <c r="S24">
        <f>B24-I24-J24-K24</f>
        <v>0</v>
      </c>
      <c r="T24">
        <v>0</v>
      </c>
    </row>
    <row r="25" spans="1:20" x14ac:dyDescent="0.25">
      <c r="A25" s="6" t="s">
        <v>40</v>
      </c>
      <c r="B25">
        <v>16</v>
      </c>
      <c r="C25">
        <v>13</v>
      </c>
      <c r="D25" s="1">
        <f>C25/(B25-T25)</f>
        <v>0.8125</v>
      </c>
      <c r="E25" s="5">
        <v>4</v>
      </c>
      <c r="F25" s="1">
        <f>E25/(B25-T25)</f>
        <v>0.25</v>
      </c>
      <c r="G25" s="5">
        <f>C25+E25</f>
        <v>17</v>
      </c>
      <c r="H25" s="1">
        <f>G25/(B25-T25)</f>
        <v>1.0625</v>
      </c>
      <c r="I25">
        <v>5</v>
      </c>
      <c r="J25">
        <v>2</v>
      </c>
      <c r="K25">
        <v>9</v>
      </c>
      <c r="L25">
        <f>3*I25+1*J25</f>
        <v>17</v>
      </c>
      <c r="M25" s="1">
        <f>(3*I25+1*J25)/B25</f>
        <v>1.0625</v>
      </c>
      <c r="N25">
        <v>1</v>
      </c>
      <c r="O25" s="1">
        <v>0.5</v>
      </c>
      <c r="P25" s="1">
        <f>M25-O25</f>
        <v>0.5625</v>
      </c>
      <c r="Q25" s="1">
        <v>0</v>
      </c>
      <c r="R25" s="1">
        <f>D25-Q25</f>
        <v>0.8125</v>
      </c>
      <c r="S25">
        <f>B25-I25-J25-K25</f>
        <v>0</v>
      </c>
      <c r="T25">
        <v>0</v>
      </c>
    </row>
    <row r="26" spans="1:20" x14ac:dyDescent="0.25">
      <c r="A26" s="6" t="s">
        <v>69</v>
      </c>
      <c r="B26">
        <v>2</v>
      </c>
      <c r="C26">
        <v>3</v>
      </c>
      <c r="D26" s="1">
        <f>C26/(B26-T26)</f>
        <v>1.5</v>
      </c>
      <c r="E26" s="5">
        <v>0</v>
      </c>
      <c r="F26" s="1">
        <f>E26/(B26-T26)</f>
        <v>0</v>
      </c>
      <c r="G26" s="5">
        <f>C26+E26</f>
        <v>3</v>
      </c>
      <c r="H26" s="1">
        <f>G26/(B26-T26)</f>
        <v>1.5</v>
      </c>
      <c r="I26">
        <v>1</v>
      </c>
      <c r="J26">
        <v>0</v>
      </c>
      <c r="K26">
        <v>1</v>
      </c>
      <c r="L26">
        <f>3*I26+1*J26</f>
        <v>3</v>
      </c>
      <c r="M26" s="1">
        <f>(3*I26+1*J26)/B26</f>
        <v>1.5</v>
      </c>
      <c r="N26">
        <v>0</v>
      </c>
      <c r="P26" s="1"/>
      <c r="S26">
        <f>B26-I26-J26-K26</f>
        <v>0</v>
      </c>
      <c r="T26">
        <v>0</v>
      </c>
    </row>
    <row r="27" spans="1:20" x14ac:dyDescent="0.25">
      <c r="A27" s="6" t="s">
        <v>4</v>
      </c>
      <c r="B27">
        <v>27</v>
      </c>
      <c r="C27">
        <v>8</v>
      </c>
      <c r="D27" s="1">
        <f>C27/(B27-T27)</f>
        <v>0.30769230769230771</v>
      </c>
      <c r="E27" s="5">
        <v>5</v>
      </c>
      <c r="F27" s="1">
        <f>E27/(B27-T27)</f>
        <v>0.19230769230769232</v>
      </c>
      <c r="G27" s="5">
        <f>C27+E27</f>
        <v>13</v>
      </c>
      <c r="H27" s="1">
        <f>G27/(B27-T27)</f>
        <v>0.5</v>
      </c>
      <c r="I27">
        <v>8</v>
      </c>
      <c r="J27">
        <v>3</v>
      </c>
      <c r="K27">
        <v>16</v>
      </c>
      <c r="L27">
        <f>3*I27+1*J27</f>
        <v>27</v>
      </c>
      <c r="M27" s="1">
        <f>(3*I27+1*J27)/B27</f>
        <v>1</v>
      </c>
      <c r="N27">
        <v>0</v>
      </c>
      <c r="O27" s="1">
        <v>1.53</v>
      </c>
      <c r="P27" s="1">
        <f>M27-O27</f>
        <v>-0.53</v>
      </c>
      <c r="Q27" s="1">
        <v>0.28000000000000003</v>
      </c>
      <c r="R27" s="1">
        <f>D27-Q27</f>
        <v>2.7692307692307683E-2</v>
      </c>
      <c r="S27">
        <f>B27-I27-J27-K27</f>
        <v>0</v>
      </c>
      <c r="T27">
        <v>1</v>
      </c>
    </row>
    <row r="28" spans="1:20" x14ac:dyDescent="0.25">
      <c r="A28" s="6" t="s">
        <v>65</v>
      </c>
      <c r="B28">
        <v>1</v>
      </c>
      <c r="C28">
        <v>0</v>
      </c>
      <c r="D28" s="1">
        <f>C28/(B28-T28)</f>
        <v>0</v>
      </c>
      <c r="E28" s="5">
        <v>0</v>
      </c>
      <c r="F28" s="1">
        <f>E28/(B28-T28)</f>
        <v>0</v>
      </c>
      <c r="G28" s="5">
        <f>C28+E28</f>
        <v>0</v>
      </c>
      <c r="H28" s="1">
        <f>G28/(B28-T28)</f>
        <v>0</v>
      </c>
      <c r="I28">
        <v>0</v>
      </c>
      <c r="J28">
        <v>0</v>
      </c>
      <c r="K28">
        <v>1</v>
      </c>
      <c r="L28">
        <f>3*I28+1*J28</f>
        <v>0</v>
      </c>
      <c r="M28" s="1">
        <f>(3*I28+1*J28)/B28</f>
        <v>0</v>
      </c>
      <c r="N28">
        <v>0</v>
      </c>
      <c r="P28" s="1"/>
      <c r="R28" s="1"/>
      <c r="S28">
        <f>B28-I28-J28-K28</f>
        <v>0</v>
      </c>
      <c r="T28">
        <v>0</v>
      </c>
    </row>
    <row r="29" spans="1:20" x14ac:dyDescent="0.25">
      <c r="A29" s="6" t="s">
        <v>54</v>
      </c>
      <c r="B29">
        <v>1</v>
      </c>
      <c r="C29">
        <v>0</v>
      </c>
      <c r="D29" s="1" t="e">
        <f>C29/(B29-T29)</f>
        <v>#DIV/0!</v>
      </c>
      <c r="E29" s="5">
        <v>0</v>
      </c>
      <c r="F29" s="1" t="e">
        <f>E29/(B29-T29)</f>
        <v>#DIV/0!</v>
      </c>
      <c r="G29" s="5">
        <f>C29+E29</f>
        <v>0</v>
      </c>
      <c r="H29" s="1" t="e">
        <f>G29/(B29-T29)</f>
        <v>#DIV/0!</v>
      </c>
      <c r="I29">
        <v>1</v>
      </c>
      <c r="J29">
        <v>0</v>
      </c>
      <c r="K29">
        <v>0</v>
      </c>
      <c r="L29">
        <f>3*I29+1*J29</f>
        <v>3</v>
      </c>
      <c r="M29" s="1">
        <f>(3*I29+1*J29)/B29</f>
        <v>3</v>
      </c>
      <c r="N29">
        <v>0</v>
      </c>
      <c r="P29" s="1"/>
      <c r="R29" s="1"/>
      <c r="S29">
        <f>B29-I29-J29-K29</f>
        <v>0</v>
      </c>
      <c r="T29">
        <v>1</v>
      </c>
    </row>
    <row r="30" spans="1:20" x14ac:dyDescent="0.25">
      <c r="A30" s="6" t="s">
        <v>68</v>
      </c>
      <c r="B30">
        <v>8</v>
      </c>
      <c r="C30">
        <v>6</v>
      </c>
      <c r="D30" s="1">
        <f>C30/(B30-T30)</f>
        <v>0.75</v>
      </c>
      <c r="E30" s="5">
        <v>4</v>
      </c>
      <c r="F30" s="1">
        <f>E30/(B30-T30)</f>
        <v>0.5</v>
      </c>
      <c r="G30" s="5">
        <f>C30+E30</f>
        <v>10</v>
      </c>
      <c r="H30" s="1">
        <f>G30/(B30-T30)</f>
        <v>1.25</v>
      </c>
      <c r="I30">
        <v>4</v>
      </c>
      <c r="J30">
        <v>1</v>
      </c>
      <c r="K30">
        <v>3</v>
      </c>
      <c r="L30">
        <f>3*I30+1*J30</f>
        <v>13</v>
      </c>
      <c r="M30" s="1">
        <f>(3*I30+1*J30)/B30</f>
        <v>1.625</v>
      </c>
      <c r="N30">
        <v>0</v>
      </c>
      <c r="S30">
        <f>B30-I30-J30-K30</f>
        <v>0</v>
      </c>
      <c r="T30">
        <v>0</v>
      </c>
    </row>
    <row r="31" spans="1:20" x14ac:dyDescent="0.25">
      <c r="A31" s="6" t="s">
        <v>64</v>
      </c>
      <c r="B31">
        <v>1</v>
      </c>
      <c r="C31">
        <v>0</v>
      </c>
      <c r="D31" s="1" t="e">
        <f>C31/(B31-T31)</f>
        <v>#DIV/0!</v>
      </c>
      <c r="E31" s="5">
        <v>0</v>
      </c>
      <c r="F31" s="1" t="e">
        <f>E31/(B31-T31)</f>
        <v>#DIV/0!</v>
      </c>
      <c r="G31" s="5">
        <f>C31+E31</f>
        <v>0</v>
      </c>
      <c r="H31" s="1" t="e">
        <f>G31/(B31-T31)</f>
        <v>#DIV/0!</v>
      </c>
      <c r="I31">
        <v>1</v>
      </c>
      <c r="J31">
        <v>0</v>
      </c>
      <c r="K31">
        <v>0</v>
      </c>
      <c r="L31">
        <f>3*I31+1*J31</f>
        <v>3</v>
      </c>
      <c r="M31" s="1">
        <f>(3*I31+1*J31)/B31</f>
        <v>3</v>
      </c>
      <c r="N31">
        <v>0</v>
      </c>
      <c r="P31" s="1"/>
      <c r="R31" s="1"/>
      <c r="S31">
        <f>B31-I31-J31-K31</f>
        <v>0</v>
      </c>
      <c r="T31">
        <v>1</v>
      </c>
    </row>
    <row r="32" spans="1:20" x14ac:dyDescent="0.25">
      <c r="A32" s="6" t="s">
        <v>71</v>
      </c>
      <c r="B32">
        <v>1</v>
      </c>
      <c r="C32">
        <v>1</v>
      </c>
      <c r="D32" s="1">
        <f>C32/(B32-T32)</f>
        <v>1</v>
      </c>
      <c r="E32" s="5">
        <v>0</v>
      </c>
      <c r="F32" s="1">
        <f>E32/(B32-T32)</f>
        <v>0</v>
      </c>
      <c r="G32" s="5">
        <f>C32+E32</f>
        <v>1</v>
      </c>
      <c r="H32" s="1">
        <f>G32/(B32-T32)</f>
        <v>1</v>
      </c>
      <c r="I32">
        <v>0</v>
      </c>
      <c r="J32">
        <v>0</v>
      </c>
      <c r="K32">
        <v>1</v>
      </c>
      <c r="L32">
        <f>3*I32+1*J32</f>
        <v>0</v>
      </c>
      <c r="M32" s="1">
        <f>(3*I32+1*J32)/B32</f>
        <v>0</v>
      </c>
      <c r="N32">
        <v>0</v>
      </c>
      <c r="P32" s="1"/>
      <c r="S32">
        <f>B32-I32-J32-K32</f>
        <v>0</v>
      </c>
      <c r="T32">
        <v>0</v>
      </c>
    </row>
    <row r="33" spans="1:20" x14ac:dyDescent="0.25">
      <c r="A33" s="6" t="s">
        <v>70</v>
      </c>
      <c r="B33">
        <v>3</v>
      </c>
      <c r="C33">
        <v>0</v>
      </c>
      <c r="D33" s="1">
        <f>C33/(B33-T33)</f>
        <v>0</v>
      </c>
      <c r="E33" s="5">
        <v>0</v>
      </c>
      <c r="F33" s="1">
        <f>E33/(B33-T33)</f>
        <v>0</v>
      </c>
      <c r="G33" s="5">
        <f>C33+E33</f>
        <v>0</v>
      </c>
      <c r="H33" s="1">
        <f>G33/(B33-T33)</f>
        <v>0</v>
      </c>
      <c r="I33">
        <v>0</v>
      </c>
      <c r="J33">
        <v>1</v>
      </c>
      <c r="K33">
        <v>2</v>
      </c>
      <c r="L33">
        <f>3*I33+1*J33</f>
        <v>1</v>
      </c>
      <c r="M33" s="1">
        <f>(3*I33+1*J33)/B33</f>
        <v>0.33333333333333331</v>
      </c>
      <c r="N33">
        <v>0</v>
      </c>
      <c r="P33" s="1"/>
      <c r="Q33" s="1"/>
      <c r="S33">
        <f>B33-I33-J33-K33</f>
        <v>0</v>
      </c>
      <c r="T33">
        <v>0</v>
      </c>
    </row>
    <row r="34" spans="1:20" x14ac:dyDescent="0.25">
      <c r="A34" s="6" t="s">
        <v>63</v>
      </c>
      <c r="B34">
        <v>1</v>
      </c>
      <c r="C34">
        <v>0</v>
      </c>
      <c r="D34" s="1" t="e">
        <f>C34/(B34-T34)</f>
        <v>#DIV/0!</v>
      </c>
      <c r="E34" s="5">
        <v>0</v>
      </c>
      <c r="F34" s="1" t="e">
        <f>E34/(B34-T34)</f>
        <v>#DIV/0!</v>
      </c>
      <c r="G34" s="5">
        <f>C34+E34</f>
        <v>0</v>
      </c>
      <c r="H34" s="1" t="e">
        <f>G34/(B34-T34)</f>
        <v>#DIV/0!</v>
      </c>
      <c r="I34">
        <v>0</v>
      </c>
      <c r="J34">
        <v>0</v>
      </c>
      <c r="K34">
        <v>1</v>
      </c>
      <c r="L34">
        <f>3*I34+1*J34</f>
        <v>0</v>
      </c>
      <c r="M34" s="1">
        <f>(3*I34+1*J34)/B34</f>
        <v>0</v>
      </c>
      <c r="N34">
        <v>0</v>
      </c>
      <c r="P34" s="1"/>
      <c r="R34" s="1"/>
      <c r="S34">
        <f>B34-I34-J34-K34</f>
        <v>0</v>
      </c>
      <c r="T34">
        <v>1</v>
      </c>
    </row>
    <row r="35" spans="1:20" x14ac:dyDescent="0.25">
      <c r="A35" s="6" t="s">
        <v>50</v>
      </c>
      <c r="B35">
        <v>14</v>
      </c>
      <c r="C35">
        <v>10</v>
      </c>
      <c r="D35" s="1">
        <f>C35/(B35-T35)</f>
        <v>0.83333333333333337</v>
      </c>
      <c r="E35" s="5">
        <v>2</v>
      </c>
      <c r="F35" s="1">
        <f>E35/(B35-T35)</f>
        <v>0.16666666666666666</v>
      </c>
      <c r="G35" s="5">
        <f>C35+E35</f>
        <v>12</v>
      </c>
      <c r="H35" s="1">
        <f>G35/(B35-T35)</f>
        <v>1</v>
      </c>
      <c r="I35">
        <v>9</v>
      </c>
      <c r="J35">
        <v>1</v>
      </c>
      <c r="K35">
        <v>4</v>
      </c>
      <c r="L35">
        <f>3*I35+1*J35</f>
        <v>28</v>
      </c>
      <c r="M35" s="1">
        <f>(3*I35+1*J35)/B35</f>
        <v>2</v>
      </c>
      <c r="N35">
        <v>0</v>
      </c>
      <c r="P35" s="1"/>
      <c r="Q35" s="1"/>
      <c r="R35" s="1"/>
      <c r="S35">
        <f>B35-I35-J35-K35</f>
        <v>0</v>
      </c>
      <c r="T35">
        <v>2</v>
      </c>
    </row>
    <row r="36" spans="1:20" x14ac:dyDescent="0.25">
      <c r="A36" s="6" t="s">
        <v>34</v>
      </c>
      <c r="B36">
        <v>8</v>
      </c>
      <c r="C36">
        <v>8</v>
      </c>
      <c r="D36" s="1">
        <f>C36/(B36-T36)</f>
        <v>1</v>
      </c>
      <c r="E36" s="5">
        <v>0</v>
      </c>
      <c r="F36" s="1">
        <f>E36/(B36-T36)</f>
        <v>0</v>
      </c>
      <c r="G36" s="5">
        <f>C36+E36</f>
        <v>8</v>
      </c>
      <c r="H36" s="1">
        <f>G36/(B36-T36)</f>
        <v>1</v>
      </c>
      <c r="I36">
        <v>4</v>
      </c>
      <c r="J36">
        <v>0</v>
      </c>
      <c r="K36">
        <v>4</v>
      </c>
      <c r="L36">
        <f>3*I36+1*J36</f>
        <v>12</v>
      </c>
      <c r="M36" s="1">
        <f>(3*I36+1*J36)/B36</f>
        <v>1.5</v>
      </c>
      <c r="N36">
        <v>0</v>
      </c>
      <c r="O36" s="1">
        <v>1.44</v>
      </c>
      <c r="P36" s="1">
        <f>M36-O36</f>
        <v>6.0000000000000053E-2</v>
      </c>
      <c r="Q36" s="1">
        <v>0.89</v>
      </c>
      <c r="R36" s="1">
        <f>D36-Q36</f>
        <v>0.10999999999999999</v>
      </c>
      <c r="S36">
        <f>B36-I36-J36-K36</f>
        <v>0</v>
      </c>
      <c r="T36">
        <v>0</v>
      </c>
    </row>
    <row r="37" spans="1:20" x14ac:dyDescent="0.25">
      <c r="A37" t="s">
        <v>20</v>
      </c>
      <c r="B37">
        <v>35</v>
      </c>
      <c r="C37">
        <v>4</v>
      </c>
      <c r="D37" s="1">
        <f>C37/(B37-T37)</f>
        <v>0.11764705882352941</v>
      </c>
      <c r="E37" s="5">
        <v>1</v>
      </c>
      <c r="F37" s="1">
        <f>E37/(B37-T37)</f>
        <v>2.9411764705882353E-2</v>
      </c>
      <c r="G37" s="5">
        <f>C37+E37</f>
        <v>5</v>
      </c>
      <c r="H37" s="1">
        <f>G37/(B37-T37)</f>
        <v>0.14705882352941177</v>
      </c>
      <c r="I37">
        <v>13</v>
      </c>
      <c r="J37">
        <v>3</v>
      </c>
      <c r="K37">
        <v>19</v>
      </c>
      <c r="L37">
        <f>3*I37+1*J37</f>
        <v>42</v>
      </c>
      <c r="M37" s="1">
        <f>(3*I37+1*J37)/B37</f>
        <v>1.2</v>
      </c>
      <c r="N37">
        <v>1</v>
      </c>
      <c r="O37" s="1">
        <v>1.53</v>
      </c>
      <c r="P37" s="1">
        <f>M37-O37</f>
        <v>-0.33000000000000007</v>
      </c>
      <c r="Q37" s="1">
        <v>0.18</v>
      </c>
      <c r="R37" s="1">
        <f>D37-Q37</f>
        <v>-6.2352941176470583E-2</v>
      </c>
      <c r="S37">
        <f>B37-I37-J37-K37</f>
        <v>0</v>
      </c>
      <c r="T37">
        <v>1</v>
      </c>
    </row>
    <row r="38" spans="1:20" x14ac:dyDescent="0.25">
      <c r="A38" s="6" t="s">
        <v>18</v>
      </c>
      <c r="B38">
        <v>35</v>
      </c>
      <c r="C38">
        <v>92</v>
      </c>
      <c r="D38" s="1">
        <f>C38/(B38-T38)</f>
        <v>2.6285714285714286</v>
      </c>
      <c r="E38" s="5">
        <v>28</v>
      </c>
      <c r="F38" s="1">
        <f>E38/(B38-T38)</f>
        <v>0.8</v>
      </c>
      <c r="G38" s="5">
        <f>C38+E38</f>
        <v>120</v>
      </c>
      <c r="H38" s="1">
        <f>G38/(B38-T38)</f>
        <v>3.4285714285714284</v>
      </c>
      <c r="I38">
        <v>14</v>
      </c>
      <c r="J38">
        <v>4</v>
      </c>
      <c r="K38">
        <v>17</v>
      </c>
      <c r="L38">
        <f>3*I38+1*J38</f>
        <v>46</v>
      </c>
      <c r="M38" s="1">
        <f>(3*I38+1*J38)/B38</f>
        <v>1.3142857142857143</v>
      </c>
      <c r="N38">
        <v>0</v>
      </c>
      <c r="O38" s="1">
        <v>1.89</v>
      </c>
      <c r="P38" s="1">
        <f>M38-O38</f>
        <v>-0.57571428571428562</v>
      </c>
      <c r="Q38" s="1">
        <v>2.61</v>
      </c>
      <c r="R38" s="1">
        <f>D38-Q38</f>
        <v>1.8571428571428683E-2</v>
      </c>
      <c r="S38">
        <f>B38-I38-J38-K38</f>
        <v>0</v>
      </c>
      <c r="T38">
        <v>0</v>
      </c>
    </row>
    <row r="39" spans="1:20" x14ac:dyDescent="0.25">
      <c r="A39" s="6" t="s">
        <v>1</v>
      </c>
      <c r="B39">
        <v>5</v>
      </c>
      <c r="C39">
        <v>5</v>
      </c>
      <c r="D39" s="1">
        <f>C39/(B39-T39)</f>
        <v>1</v>
      </c>
      <c r="E39" s="5">
        <v>5</v>
      </c>
      <c r="F39" s="1">
        <f>E39/(B39-T39)</f>
        <v>1</v>
      </c>
      <c r="G39" s="5">
        <f>C39+E39</f>
        <v>10</v>
      </c>
      <c r="H39" s="1">
        <f>G39/(B39-T39)</f>
        <v>2</v>
      </c>
      <c r="I39">
        <v>4</v>
      </c>
      <c r="J39">
        <v>0</v>
      </c>
      <c r="K39">
        <v>1</v>
      </c>
      <c r="L39">
        <f>3*I39+1*J39</f>
        <v>12</v>
      </c>
      <c r="M39" s="1">
        <f>(3*I39+1*J39)/B39</f>
        <v>2.4</v>
      </c>
      <c r="N39">
        <v>0</v>
      </c>
      <c r="O39" s="1">
        <v>1.17</v>
      </c>
      <c r="P39" s="1">
        <f>M39-O39</f>
        <v>1.23</v>
      </c>
      <c r="Q39" s="1">
        <v>1.58</v>
      </c>
      <c r="R39" s="1">
        <f>D39-Q39</f>
        <v>-0.58000000000000007</v>
      </c>
      <c r="S39">
        <f>B39-I39-J39-K39</f>
        <v>0</v>
      </c>
      <c r="T39">
        <v>0</v>
      </c>
    </row>
    <row r="40" spans="1:20" x14ac:dyDescent="0.25">
      <c r="A40" s="6" t="s">
        <v>55</v>
      </c>
      <c r="B40">
        <v>1</v>
      </c>
      <c r="C40">
        <v>0</v>
      </c>
      <c r="D40" s="1" t="e">
        <f>C40/(B40-T40)</f>
        <v>#DIV/0!</v>
      </c>
      <c r="E40" s="5">
        <v>0</v>
      </c>
      <c r="F40" s="1" t="e">
        <f>E40/(B40-T40)</f>
        <v>#DIV/0!</v>
      </c>
      <c r="G40" s="5">
        <f>C40+E40</f>
        <v>0</v>
      </c>
      <c r="H40" s="1" t="e">
        <f>G40/(B40-T40)</f>
        <v>#DIV/0!</v>
      </c>
      <c r="I40">
        <v>1</v>
      </c>
      <c r="J40">
        <v>0</v>
      </c>
      <c r="K40">
        <v>0</v>
      </c>
      <c r="L40">
        <f>3*I40+1*J40</f>
        <v>3</v>
      </c>
      <c r="M40" s="1">
        <f>(3*I40+1*J40)/B40</f>
        <v>3</v>
      </c>
      <c r="N40">
        <v>0</v>
      </c>
      <c r="P40" s="1"/>
      <c r="R40" s="1"/>
      <c r="S40">
        <f>B40-I40-J40-K40</f>
        <v>0</v>
      </c>
      <c r="T40">
        <v>1</v>
      </c>
    </row>
    <row r="41" spans="1:20" x14ac:dyDescent="0.25">
      <c r="A41" s="6" t="s">
        <v>62</v>
      </c>
      <c r="B41">
        <v>1</v>
      </c>
      <c r="C41">
        <v>0</v>
      </c>
      <c r="D41" s="1">
        <f>C41/(B41-T41)</f>
        <v>0</v>
      </c>
      <c r="E41" s="5">
        <v>0</v>
      </c>
      <c r="F41" s="1">
        <f>E41/(B41-T41)</f>
        <v>0</v>
      </c>
      <c r="G41" s="5">
        <f>C41+E41</f>
        <v>0</v>
      </c>
      <c r="H41" s="1">
        <f>G41/(B41-T41)</f>
        <v>0</v>
      </c>
      <c r="I41">
        <v>0</v>
      </c>
      <c r="J41">
        <v>0</v>
      </c>
      <c r="K41">
        <v>1</v>
      </c>
      <c r="L41">
        <f>3*I41+1*J41</f>
        <v>0</v>
      </c>
      <c r="M41" s="1">
        <f>(3*I41+1*J41)/B41</f>
        <v>0</v>
      </c>
      <c r="N41">
        <v>0</v>
      </c>
      <c r="P41" s="1"/>
      <c r="R41" s="1"/>
      <c r="S41">
        <f>B41-I41-J41-K41</f>
        <v>0</v>
      </c>
      <c r="T41">
        <v>0</v>
      </c>
    </row>
    <row r="42" spans="1:20" x14ac:dyDescent="0.25">
      <c r="A42" s="6" t="s">
        <v>3</v>
      </c>
      <c r="B42">
        <v>30</v>
      </c>
      <c r="C42">
        <v>25</v>
      </c>
      <c r="D42" s="1">
        <f>C42/(B42-T42)</f>
        <v>0.86206896551724133</v>
      </c>
      <c r="E42" s="5">
        <v>7</v>
      </c>
      <c r="F42" s="1">
        <f>E42/(B42-T42)</f>
        <v>0.2413793103448276</v>
      </c>
      <c r="G42" s="5">
        <f>C42+E42</f>
        <v>32</v>
      </c>
      <c r="H42" s="1">
        <f>G42/(B42-T42)</f>
        <v>1.103448275862069</v>
      </c>
      <c r="I42">
        <v>14</v>
      </c>
      <c r="J42">
        <v>4</v>
      </c>
      <c r="K42">
        <v>12</v>
      </c>
      <c r="L42">
        <f>3*I42+1*J42</f>
        <v>46</v>
      </c>
      <c r="M42" s="1">
        <f>(3*I42+1*J42)/B42</f>
        <v>1.5333333333333334</v>
      </c>
      <c r="N42">
        <v>1</v>
      </c>
      <c r="O42" s="1">
        <v>1.34</v>
      </c>
      <c r="P42" s="1">
        <f>M42-O42</f>
        <v>0.19333333333333336</v>
      </c>
      <c r="Q42" s="1">
        <v>0.84</v>
      </c>
      <c r="R42" s="1">
        <f>D42-Q42</f>
        <v>2.2068965517241357E-2</v>
      </c>
      <c r="S42">
        <f>B42-I42-J42-K42</f>
        <v>0</v>
      </c>
      <c r="T42">
        <v>1</v>
      </c>
    </row>
    <row r="43" spans="1:20" x14ac:dyDescent="0.25">
      <c r="A43" s="6" t="s">
        <v>72</v>
      </c>
      <c r="B43">
        <v>1</v>
      </c>
      <c r="C43">
        <v>1</v>
      </c>
      <c r="D43" s="1">
        <f>C43/(B43-T43)</f>
        <v>1</v>
      </c>
      <c r="E43" s="5">
        <v>0</v>
      </c>
      <c r="F43" s="1">
        <f>E43/(B43-T43)</f>
        <v>0</v>
      </c>
      <c r="G43" s="5">
        <f>C43+E43</f>
        <v>1</v>
      </c>
      <c r="H43" s="1">
        <f>G43/(B43-T43)</f>
        <v>1</v>
      </c>
      <c r="I43">
        <v>1</v>
      </c>
      <c r="J43">
        <v>0</v>
      </c>
      <c r="K43">
        <v>0</v>
      </c>
      <c r="L43">
        <f>3*I43+1*J43</f>
        <v>3</v>
      </c>
      <c r="M43" s="1">
        <f>(3*I43+1*J43)/B43</f>
        <v>3</v>
      </c>
      <c r="N43">
        <v>0</v>
      </c>
      <c r="P43" s="1"/>
      <c r="Q43" s="1"/>
      <c r="S43">
        <f>B43-I43-J43-K43</f>
        <v>0</v>
      </c>
      <c r="T43">
        <v>0</v>
      </c>
    </row>
    <row r="44" spans="1:20" x14ac:dyDescent="0.25">
      <c r="A44" s="6" t="s">
        <v>45</v>
      </c>
      <c r="B44">
        <v>1</v>
      </c>
      <c r="C44">
        <v>0</v>
      </c>
      <c r="D44" s="1">
        <f>C44/(B44-T44)</f>
        <v>0</v>
      </c>
      <c r="E44" s="5">
        <v>0</v>
      </c>
      <c r="F44" s="1">
        <f>E44/(B44-T44)</f>
        <v>0</v>
      </c>
      <c r="G44" s="5">
        <f>C44+E44</f>
        <v>0</v>
      </c>
      <c r="H44" s="1">
        <f>G44/(B44-T44)</f>
        <v>0</v>
      </c>
      <c r="I44">
        <v>0</v>
      </c>
      <c r="J44">
        <v>0</v>
      </c>
      <c r="K44">
        <v>1</v>
      </c>
      <c r="L44">
        <f>3*I44+1*J44</f>
        <v>0</v>
      </c>
      <c r="M44" s="1">
        <f>(3*I44+1*J44)/B44</f>
        <v>0</v>
      </c>
      <c r="N44">
        <v>0</v>
      </c>
      <c r="P44" s="1"/>
      <c r="Q44" s="1"/>
      <c r="R44" s="1"/>
      <c r="S44">
        <f>B44-I44-J44-K44</f>
        <v>0</v>
      </c>
      <c r="T44">
        <v>0</v>
      </c>
    </row>
    <row r="45" spans="1:20" x14ac:dyDescent="0.25">
      <c r="A45" s="6" t="s">
        <v>23</v>
      </c>
      <c r="B45">
        <v>26</v>
      </c>
      <c r="C45">
        <v>5</v>
      </c>
      <c r="D45" s="1">
        <f>C45/(B45-T45)</f>
        <v>0.2</v>
      </c>
      <c r="E45" s="5">
        <v>2</v>
      </c>
      <c r="F45" s="1">
        <f>E45/(B45-T45)</f>
        <v>0.08</v>
      </c>
      <c r="G45" s="5">
        <f>C45+E45</f>
        <v>7</v>
      </c>
      <c r="H45" s="1">
        <f>G45/(B45-T45)</f>
        <v>0.28000000000000003</v>
      </c>
      <c r="I45">
        <v>11</v>
      </c>
      <c r="J45">
        <v>2</v>
      </c>
      <c r="K45">
        <v>13</v>
      </c>
      <c r="L45">
        <f>3*I45+1*J45</f>
        <v>35</v>
      </c>
      <c r="M45" s="1">
        <f>(3*I45+1*J45)/B45</f>
        <v>1.3461538461538463</v>
      </c>
      <c r="N45">
        <v>0</v>
      </c>
      <c r="O45" s="1">
        <v>1.18</v>
      </c>
      <c r="P45" s="1">
        <f>M45-O45</f>
        <v>0.16615384615384632</v>
      </c>
      <c r="Q45" s="1">
        <v>0.54</v>
      </c>
      <c r="R45" s="1">
        <f>D45-Q45</f>
        <v>-0.34</v>
      </c>
      <c r="S45">
        <f>B45-I45-J45-K45</f>
        <v>0</v>
      </c>
      <c r="T45">
        <v>1</v>
      </c>
    </row>
    <row r="46" spans="1:20" x14ac:dyDescent="0.25">
      <c r="A46" s="6" t="s">
        <v>17</v>
      </c>
      <c r="B46">
        <v>28</v>
      </c>
      <c r="C46">
        <v>13</v>
      </c>
      <c r="D46" s="1">
        <f>C46/(B46-T46)</f>
        <v>0.48148148148148145</v>
      </c>
      <c r="E46" s="5">
        <v>5</v>
      </c>
      <c r="F46" s="1">
        <f>E46/(B46-T46)</f>
        <v>0.18518518518518517</v>
      </c>
      <c r="G46" s="5">
        <f>C46+E46</f>
        <v>18</v>
      </c>
      <c r="H46" s="1">
        <f>G46/(B46-T46)</f>
        <v>0.66666666666666663</v>
      </c>
      <c r="I46">
        <v>11</v>
      </c>
      <c r="J46">
        <v>3</v>
      </c>
      <c r="K46">
        <v>14</v>
      </c>
      <c r="L46">
        <f>3*I46+1*J46</f>
        <v>36</v>
      </c>
      <c r="M46" s="1">
        <f>(3*I46+1*J46)/B46</f>
        <v>1.2857142857142858</v>
      </c>
      <c r="N46">
        <v>1</v>
      </c>
      <c r="O46" s="1">
        <v>1.1100000000000001</v>
      </c>
      <c r="P46" s="1">
        <f>M46-O46</f>
        <v>0.17571428571428571</v>
      </c>
      <c r="Q46" s="1">
        <v>0.54</v>
      </c>
      <c r="R46" s="1">
        <f>D46-Q46</f>
        <v>-5.8518518518518581E-2</v>
      </c>
      <c r="S46">
        <f>B46-I46-J46-K46</f>
        <v>0</v>
      </c>
      <c r="T46">
        <v>1</v>
      </c>
    </row>
    <row r="47" spans="1:20" x14ac:dyDescent="0.25">
      <c r="A47" s="6" t="s">
        <v>29</v>
      </c>
      <c r="B47">
        <v>8</v>
      </c>
      <c r="C47">
        <v>4</v>
      </c>
      <c r="D47" s="1">
        <f>C47/(B47-T47)</f>
        <v>0.5</v>
      </c>
      <c r="E47" s="5">
        <v>1</v>
      </c>
      <c r="F47" s="1">
        <f>E47/(B47-T47)</f>
        <v>0.125</v>
      </c>
      <c r="G47" s="5">
        <f>C47+E47</f>
        <v>5</v>
      </c>
      <c r="H47" s="1">
        <f>G47/(B47-T47)</f>
        <v>0.625</v>
      </c>
      <c r="I47">
        <v>3</v>
      </c>
      <c r="J47">
        <v>2</v>
      </c>
      <c r="K47">
        <v>3</v>
      </c>
      <c r="L47">
        <f>3*I47+1*J47</f>
        <v>11</v>
      </c>
      <c r="M47" s="1">
        <f>(3*I47+1*J47)/B47</f>
        <v>1.375</v>
      </c>
      <c r="N47">
        <v>0</v>
      </c>
      <c r="O47" s="1">
        <v>1.3</v>
      </c>
      <c r="P47" s="1">
        <f>M47-O47</f>
        <v>7.4999999999999956E-2</v>
      </c>
      <c r="Q47" s="1">
        <v>0.1</v>
      </c>
      <c r="R47" s="1">
        <f>D47-Q47</f>
        <v>0.4</v>
      </c>
      <c r="S47">
        <f>B47-I47-J47-K47</f>
        <v>0</v>
      </c>
      <c r="T47">
        <v>0</v>
      </c>
    </row>
    <row r="48" spans="1:20" x14ac:dyDescent="0.25">
      <c r="A48" s="6" t="s">
        <v>53</v>
      </c>
      <c r="B48">
        <v>2</v>
      </c>
      <c r="C48">
        <v>0</v>
      </c>
      <c r="D48" s="1" t="e">
        <f>C48/(B48-T48)</f>
        <v>#DIV/0!</v>
      </c>
      <c r="E48" s="5">
        <v>0</v>
      </c>
      <c r="F48" s="1" t="e">
        <f>E48/(B48-T48)</f>
        <v>#DIV/0!</v>
      </c>
      <c r="G48" s="5">
        <f>C48+E48</f>
        <v>0</v>
      </c>
      <c r="H48" s="1" t="e">
        <f>G48/(B48-T48)</f>
        <v>#DIV/0!</v>
      </c>
      <c r="I48">
        <v>2</v>
      </c>
      <c r="J48">
        <v>0</v>
      </c>
      <c r="K48">
        <v>0</v>
      </c>
      <c r="L48">
        <f>3*I48+1*J48</f>
        <v>6</v>
      </c>
      <c r="M48" s="1">
        <f>(3*I48+1*J48)/B48</f>
        <v>3</v>
      </c>
      <c r="N48">
        <v>0</v>
      </c>
      <c r="P48" s="1"/>
      <c r="R48" s="1"/>
      <c r="S48">
        <f>B48-I48-J48-K48</f>
        <v>0</v>
      </c>
      <c r="T48">
        <v>2</v>
      </c>
    </row>
    <row r="49" spans="1:20" x14ac:dyDescent="0.25">
      <c r="A49" s="6" t="s">
        <v>25</v>
      </c>
      <c r="B49">
        <v>33</v>
      </c>
      <c r="C49">
        <v>95</v>
      </c>
      <c r="D49" s="1">
        <f>C49/(B49-T49)</f>
        <v>2.8787878787878789</v>
      </c>
      <c r="E49" s="5">
        <v>44</v>
      </c>
      <c r="F49" s="1">
        <f>E49/(B49-T49)</f>
        <v>1.3333333333333333</v>
      </c>
      <c r="G49" s="5">
        <f>C49+E49</f>
        <v>139</v>
      </c>
      <c r="H49" s="1">
        <f>G49/(B49-T49)</f>
        <v>4.2121212121212119</v>
      </c>
      <c r="I49">
        <v>17</v>
      </c>
      <c r="J49">
        <v>2</v>
      </c>
      <c r="K49">
        <v>14</v>
      </c>
      <c r="L49">
        <f>3*I49+1*J49</f>
        <v>53</v>
      </c>
      <c r="M49" s="1">
        <f>(3*I49+1*J49)/B49</f>
        <v>1.606060606060606</v>
      </c>
      <c r="N49">
        <v>0</v>
      </c>
      <c r="O49" s="1">
        <v>1.06</v>
      </c>
      <c r="P49" s="1">
        <f>M49-O49</f>
        <v>0.54606060606060591</v>
      </c>
      <c r="Q49" s="1">
        <v>1.97</v>
      </c>
      <c r="R49" s="1">
        <f>D49-Q49</f>
        <v>0.90878787878787892</v>
      </c>
      <c r="S49">
        <f>B49-I49-J49-K49</f>
        <v>0</v>
      </c>
      <c r="T49">
        <v>0</v>
      </c>
    </row>
    <row r="50" spans="1:20" x14ac:dyDescent="0.25">
      <c r="A50" s="6" t="s">
        <v>42</v>
      </c>
      <c r="B50">
        <v>3</v>
      </c>
      <c r="C50">
        <v>1</v>
      </c>
      <c r="D50" s="1">
        <f>C50/(B50-T50)</f>
        <v>0.5</v>
      </c>
      <c r="E50" s="5">
        <v>1</v>
      </c>
      <c r="F50" s="1">
        <f>E50/(B50-T50)</f>
        <v>0.5</v>
      </c>
      <c r="G50" s="5">
        <f>C50+E50</f>
        <v>2</v>
      </c>
      <c r="H50" s="1">
        <f>G50/(B50-T50)</f>
        <v>1</v>
      </c>
      <c r="I50">
        <v>2</v>
      </c>
      <c r="J50">
        <v>0</v>
      </c>
      <c r="K50">
        <v>1</v>
      </c>
      <c r="L50">
        <f>3*I50+1*J50</f>
        <v>6</v>
      </c>
      <c r="M50" s="1">
        <f>(3*I50+1*J50)/B50</f>
        <v>2</v>
      </c>
      <c r="N50">
        <v>0</v>
      </c>
      <c r="P50" s="1"/>
      <c r="Q50" s="1"/>
      <c r="R50" s="1"/>
      <c r="S50">
        <f>B50-I50-J50-K50</f>
        <v>0</v>
      </c>
      <c r="T50">
        <v>1</v>
      </c>
    </row>
    <row r="51" spans="1:20" x14ac:dyDescent="0.25">
      <c r="A51" s="6" t="s">
        <v>48</v>
      </c>
      <c r="B51">
        <v>13</v>
      </c>
      <c r="C51">
        <v>29</v>
      </c>
      <c r="D51" s="1">
        <f>C51/(B51-T51)</f>
        <v>2.4166666666666665</v>
      </c>
      <c r="E51" s="5">
        <v>6</v>
      </c>
      <c r="F51" s="1">
        <f>E51/(B51-T51)</f>
        <v>0.5</v>
      </c>
      <c r="G51" s="5">
        <f>C51+E51</f>
        <v>35</v>
      </c>
      <c r="H51" s="1">
        <f>G51/(B51-T51)</f>
        <v>2.9166666666666665</v>
      </c>
      <c r="I51">
        <v>8</v>
      </c>
      <c r="J51">
        <v>2</v>
      </c>
      <c r="K51">
        <v>3</v>
      </c>
      <c r="L51">
        <f>3*I51+1*J51</f>
        <v>26</v>
      </c>
      <c r="M51" s="1">
        <f>(3*I51+1*J51)/B51</f>
        <v>2</v>
      </c>
      <c r="N51">
        <v>0</v>
      </c>
      <c r="P51" s="1"/>
      <c r="R51" s="1"/>
      <c r="S51">
        <f>B51-I51-J51-K51</f>
        <v>0</v>
      </c>
      <c r="T51">
        <v>1</v>
      </c>
    </row>
    <row r="52" spans="1:20" x14ac:dyDescent="0.25">
      <c r="A52" s="6" t="s">
        <v>30</v>
      </c>
      <c r="B52">
        <v>28</v>
      </c>
      <c r="C52">
        <v>14</v>
      </c>
      <c r="D52" s="1">
        <f>C52/(B52-T52)</f>
        <v>0.53846153846153844</v>
      </c>
      <c r="E52" s="5">
        <v>4</v>
      </c>
      <c r="F52" s="1">
        <f>E52/(B52-T52)</f>
        <v>0.15384615384615385</v>
      </c>
      <c r="G52" s="5">
        <f>C52+E52</f>
        <v>18</v>
      </c>
      <c r="H52" s="1">
        <f>G52/(B52-T52)</f>
        <v>0.69230769230769229</v>
      </c>
      <c r="I52">
        <v>16</v>
      </c>
      <c r="J52">
        <v>2</v>
      </c>
      <c r="K52">
        <v>10</v>
      </c>
      <c r="L52">
        <f>3*I52+1*J52</f>
        <v>50</v>
      </c>
      <c r="M52" s="1">
        <f>(3*I52+1*J52)/B52</f>
        <v>1.7857142857142858</v>
      </c>
      <c r="N52">
        <v>0</v>
      </c>
      <c r="O52" s="1">
        <v>1.62</v>
      </c>
      <c r="P52" s="1">
        <f>M52-O52</f>
        <v>0.1657142857142857</v>
      </c>
      <c r="Q52" s="1">
        <v>0.56999999999999995</v>
      </c>
      <c r="R52" s="1">
        <f>D52-Q52</f>
        <v>-3.1538461538461515E-2</v>
      </c>
      <c r="S52">
        <f>B52-I52-J52-K52</f>
        <v>0</v>
      </c>
      <c r="T52">
        <v>2</v>
      </c>
    </row>
    <row r="53" spans="1:20" x14ac:dyDescent="0.25">
      <c r="A53" s="6" t="s">
        <v>66</v>
      </c>
      <c r="B53">
        <v>1</v>
      </c>
      <c r="C53">
        <v>0</v>
      </c>
      <c r="D53" s="1" t="e">
        <f>C53/(B53-T53)</f>
        <v>#DIV/0!</v>
      </c>
      <c r="E53" s="5">
        <v>0</v>
      </c>
      <c r="F53" s="1" t="e">
        <f>E53/(B53-T53)</f>
        <v>#DIV/0!</v>
      </c>
      <c r="G53" s="5">
        <f>C53+E53</f>
        <v>0</v>
      </c>
      <c r="H53" s="1" t="e">
        <f>G53/(B53-T53)</f>
        <v>#DIV/0!</v>
      </c>
      <c r="I53">
        <v>0</v>
      </c>
      <c r="J53">
        <v>0</v>
      </c>
      <c r="K53">
        <v>1</v>
      </c>
      <c r="L53">
        <f>3*I53+1*J53</f>
        <v>0</v>
      </c>
      <c r="M53" s="1">
        <f>(3*I53+1*J53)/B53</f>
        <v>0</v>
      </c>
      <c r="N53">
        <v>0</v>
      </c>
      <c r="P53" s="1"/>
      <c r="R53" s="1"/>
      <c r="S53">
        <f>B53-I53-J53-K53</f>
        <v>0</v>
      </c>
      <c r="T53">
        <v>1</v>
      </c>
    </row>
    <row r="54" spans="1:20" x14ac:dyDescent="0.25">
      <c r="A54" s="6" t="s">
        <v>24</v>
      </c>
      <c r="B54">
        <v>6</v>
      </c>
      <c r="C54">
        <v>6</v>
      </c>
      <c r="D54" s="1">
        <f>C54/(B54-T54)</f>
        <v>1</v>
      </c>
      <c r="E54" s="5">
        <v>0</v>
      </c>
      <c r="F54" s="1">
        <f>E54/(B54-T54)</f>
        <v>0</v>
      </c>
      <c r="G54" s="5">
        <f>C54+E54</f>
        <v>6</v>
      </c>
      <c r="H54" s="1">
        <f>G54/(B54-T54)</f>
        <v>1</v>
      </c>
      <c r="I54">
        <v>3</v>
      </c>
      <c r="J54">
        <v>1</v>
      </c>
      <c r="K54">
        <v>2</v>
      </c>
      <c r="L54">
        <f>3*I54+1*J54</f>
        <v>10</v>
      </c>
      <c r="M54" s="1">
        <f>(3*I54+1*J54)/B54</f>
        <v>1.6666666666666667</v>
      </c>
      <c r="N54">
        <v>1</v>
      </c>
      <c r="O54" s="1">
        <v>1.38</v>
      </c>
      <c r="P54" s="1">
        <f>M54-O54</f>
        <v>0.28666666666666685</v>
      </c>
      <c r="Q54" s="1">
        <v>1.38</v>
      </c>
      <c r="R54" s="1">
        <f>D54-Q54</f>
        <v>-0.37999999999999989</v>
      </c>
      <c r="S54">
        <f>B54-I54-J54-K54</f>
        <v>0</v>
      </c>
      <c r="T54">
        <v>0</v>
      </c>
    </row>
    <row r="55" spans="1:20" x14ac:dyDescent="0.25">
      <c r="A55" s="6" t="s">
        <v>56</v>
      </c>
      <c r="B55">
        <v>1</v>
      </c>
      <c r="C55">
        <v>0</v>
      </c>
      <c r="D55" s="1" t="e">
        <f>C55/(B55-T55)</f>
        <v>#DIV/0!</v>
      </c>
      <c r="E55" s="5">
        <v>0</v>
      </c>
      <c r="F55" s="1" t="e">
        <f>E55/(B55-T55)</f>
        <v>#DIV/0!</v>
      </c>
      <c r="G55" s="5">
        <f>C55+E55</f>
        <v>0</v>
      </c>
      <c r="H55" s="1" t="e">
        <f>G55/(B55-T55)</f>
        <v>#DIV/0!</v>
      </c>
      <c r="I55">
        <v>0</v>
      </c>
      <c r="J55">
        <v>0</v>
      </c>
      <c r="K55">
        <v>1</v>
      </c>
      <c r="L55">
        <f>3*I55+1*J55</f>
        <v>0</v>
      </c>
      <c r="M55" s="1">
        <f>(3*I55+1*J55)/B55</f>
        <v>0</v>
      </c>
      <c r="N55">
        <v>0</v>
      </c>
      <c r="P55" s="1"/>
      <c r="R55" s="1"/>
      <c r="S55">
        <f>B55-I55-J55-K55</f>
        <v>0</v>
      </c>
      <c r="T55">
        <v>1</v>
      </c>
    </row>
    <row r="56" spans="1:20" x14ac:dyDescent="0.25">
      <c r="A56" s="6" t="s">
        <v>74</v>
      </c>
      <c r="B56">
        <v>1</v>
      </c>
      <c r="C56">
        <v>2</v>
      </c>
      <c r="D56" s="1">
        <f>C56/(B56-T56)</f>
        <v>2</v>
      </c>
      <c r="E56" s="5">
        <v>2</v>
      </c>
      <c r="F56" s="1">
        <f>E56/(B56-T56)</f>
        <v>2</v>
      </c>
      <c r="G56" s="5">
        <f>C56+E56</f>
        <v>4</v>
      </c>
      <c r="H56" s="1">
        <f>G56/(B56-T56)</f>
        <v>4</v>
      </c>
      <c r="I56">
        <v>1</v>
      </c>
      <c r="J56">
        <v>0</v>
      </c>
      <c r="K56">
        <v>0</v>
      </c>
      <c r="L56">
        <f>3*I56+1*J56</f>
        <v>3</v>
      </c>
      <c r="M56" s="1">
        <f>(3*I56+1*J56)/B56</f>
        <v>3</v>
      </c>
      <c r="N56">
        <v>0</v>
      </c>
      <c r="P56" s="1"/>
      <c r="S56">
        <f>B56-I56-J56-K56</f>
        <v>0</v>
      </c>
      <c r="T56">
        <v>0</v>
      </c>
    </row>
    <row r="57" spans="1:20" x14ac:dyDescent="0.25">
      <c r="A57" s="6" t="s">
        <v>60</v>
      </c>
      <c r="B57">
        <v>1</v>
      </c>
      <c r="C57">
        <v>0</v>
      </c>
      <c r="D57" s="1">
        <f>C57/(B57-T57)</f>
        <v>0</v>
      </c>
      <c r="E57" s="5">
        <v>0</v>
      </c>
      <c r="F57" s="1">
        <f>E57/(B57-T57)</f>
        <v>0</v>
      </c>
      <c r="G57" s="5">
        <f>C57+E57</f>
        <v>0</v>
      </c>
      <c r="H57" s="1">
        <f>G57/(B57-T57)</f>
        <v>0</v>
      </c>
      <c r="I57">
        <v>0</v>
      </c>
      <c r="J57">
        <v>1</v>
      </c>
      <c r="K57">
        <v>0</v>
      </c>
      <c r="L57">
        <f>3*I57+1*J57</f>
        <v>1</v>
      </c>
      <c r="M57" s="1">
        <f>(3*I57+1*J57)/B57</f>
        <v>1</v>
      </c>
      <c r="N57">
        <v>0</v>
      </c>
      <c r="P57" s="1"/>
      <c r="R57" s="1"/>
      <c r="S57">
        <f>B57-I57-J57-K57</f>
        <v>0</v>
      </c>
      <c r="T57">
        <v>0</v>
      </c>
    </row>
    <row r="1048550" spans="2:13" x14ac:dyDescent="0.25">
      <c r="B1048550">
        <f>SUM(B2:B1048549)</f>
        <v>633</v>
      </c>
      <c r="M1048550" s="1">
        <f>SUM(M2:M1048549)</f>
        <v>81.920967131486876</v>
      </c>
    </row>
    <row r="1048576" spans="9:9" x14ac:dyDescent="0.25">
      <c r="I1048576">
        <f>SUM(I2:I1048575)</f>
        <v>287</v>
      </c>
    </row>
  </sheetData>
  <sortState ref="A2:T1048576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68C3-F92B-44A7-9D00-B37147E56D79}">
  <dimension ref="A1:C59"/>
  <sheetViews>
    <sheetView topLeftCell="A52" workbookViewId="0">
      <selection activeCell="C59" sqref="C59"/>
    </sheetView>
  </sheetViews>
  <sheetFormatPr defaultRowHeight="15" x14ac:dyDescent="0.25"/>
  <sheetData>
    <row r="1" spans="1:2" x14ac:dyDescent="0.25">
      <c r="A1">
        <v>5</v>
      </c>
    </row>
    <row r="2" spans="1:2" x14ac:dyDescent="0.25">
      <c r="A2">
        <v>4</v>
      </c>
    </row>
    <row r="3" spans="1:2" x14ac:dyDescent="0.25">
      <c r="A3">
        <v>9</v>
      </c>
      <c r="B3">
        <v>-1</v>
      </c>
    </row>
    <row r="4" spans="1:2" x14ac:dyDescent="0.25">
      <c r="A4">
        <v>6</v>
      </c>
      <c r="B4">
        <v>-1</v>
      </c>
    </row>
    <row r="5" spans="1:2" x14ac:dyDescent="0.25">
      <c r="A5">
        <v>7</v>
      </c>
    </row>
    <row r="6" spans="1:2" x14ac:dyDescent="0.25">
      <c r="A6">
        <v>2</v>
      </c>
    </row>
    <row r="7" spans="1:2" x14ac:dyDescent="0.25">
      <c r="A7">
        <v>12</v>
      </c>
    </row>
    <row r="8" spans="1:2" x14ac:dyDescent="0.25">
      <c r="A8">
        <v>4</v>
      </c>
    </row>
    <row r="9" spans="1:2" x14ac:dyDescent="0.25">
      <c r="A9">
        <v>8</v>
      </c>
    </row>
    <row r="10" spans="1:2" x14ac:dyDescent="0.25">
      <c r="A10">
        <v>3</v>
      </c>
    </row>
    <row r="11" spans="1:2" x14ac:dyDescent="0.25">
      <c r="A11">
        <v>9</v>
      </c>
    </row>
    <row r="12" spans="1:2" x14ac:dyDescent="0.25">
      <c r="A12">
        <v>4</v>
      </c>
    </row>
    <row r="13" spans="1:2" x14ac:dyDescent="0.25">
      <c r="A13">
        <v>13</v>
      </c>
    </row>
    <row r="14" spans="1:2" x14ac:dyDescent="0.25">
      <c r="A14">
        <v>10</v>
      </c>
    </row>
    <row r="15" spans="1:2" x14ac:dyDescent="0.25">
      <c r="A15">
        <v>12</v>
      </c>
    </row>
    <row r="16" spans="1:2" x14ac:dyDescent="0.25">
      <c r="A16">
        <v>2</v>
      </c>
    </row>
    <row r="17" spans="1:1" x14ac:dyDescent="0.25">
      <c r="A17">
        <v>5</v>
      </c>
    </row>
    <row r="18" spans="1:1" x14ac:dyDescent="0.25">
      <c r="A18">
        <v>3</v>
      </c>
    </row>
    <row r="19" spans="1:1" x14ac:dyDescent="0.25">
      <c r="A19">
        <v>8</v>
      </c>
    </row>
    <row r="20" spans="1:1" x14ac:dyDescent="0.25">
      <c r="A20">
        <v>4</v>
      </c>
    </row>
    <row r="21" spans="1:1" x14ac:dyDescent="0.25">
      <c r="A21">
        <v>19</v>
      </c>
    </row>
    <row r="22" spans="1:1" x14ac:dyDescent="0.25">
      <c r="A22">
        <v>10</v>
      </c>
    </row>
    <row r="23" spans="1:1" x14ac:dyDescent="0.25">
      <c r="A23">
        <v>8</v>
      </c>
    </row>
    <row r="24" spans="1:1" x14ac:dyDescent="0.25">
      <c r="A24">
        <v>5</v>
      </c>
    </row>
    <row r="25" spans="1:1" x14ac:dyDescent="0.25">
      <c r="A25">
        <v>7</v>
      </c>
    </row>
    <row r="26" spans="1:1" x14ac:dyDescent="0.25">
      <c r="A26">
        <v>6</v>
      </c>
    </row>
    <row r="27" spans="1:1" x14ac:dyDescent="0.25">
      <c r="A27">
        <v>9</v>
      </c>
    </row>
    <row r="28" spans="1:1" x14ac:dyDescent="0.25">
      <c r="A28">
        <v>8</v>
      </c>
    </row>
    <row r="29" spans="1:1" x14ac:dyDescent="0.25">
      <c r="A29">
        <v>10</v>
      </c>
    </row>
    <row r="30" spans="1:1" x14ac:dyDescent="0.25">
      <c r="A30">
        <v>5</v>
      </c>
    </row>
    <row r="31" spans="1:1" x14ac:dyDescent="0.25">
      <c r="A31">
        <v>8</v>
      </c>
    </row>
    <row r="32" spans="1:1" x14ac:dyDescent="0.25">
      <c r="A32">
        <v>7</v>
      </c>
    </row>
    <row r="33" spans="1:2" x14ac:dyDescent="0.25">
      <c r="A33">
        <v>3</v>
      </c>
    </row>
    <row r="34" spans="1:2" x14ac:dyDescent="0.25">
      <c r="A34">
        <v>2</v>
      </c>
    </row>
    <row r="35" spans="1:2" x14ac:dyDescent="0.25">
      <c r="A35">
        <v>13</v>
      </c>
    </row>
    <row r="36" spans="1:2" x14ac:dyDescent="0.25">
      <c r="A36">
        <v>10</v>
      </c>
    </row>
    <row r="37" spans="1:2" x14ac:dyDescent="0.25">
      <c r="A37">
        <v>3</v>
      </c>
    </row>
    <row r="38" spans="1:2" x14ac:dyDescent="0.25">
      <c r="A38">
        <v>3</v>
      </c>
    </row>
    <row r="39" spans="1:2" x14ac:dyDescent="0.25">
      <c r="A39">
        <v>8</v>
      </c>
    </row>
    <row r="40" spans="1:2" x14ac:dyDescent="0.25">
      <c r="A40">
        <v>2</v>
      </c>
    </row>
    <row r="41" spans="1:2" x14ac:dyDescent="0.25">
      <c r="A41">
        <v>5</v>
      </c>
      <c r="B41">
        <v>-5</v>
      </c>
    </row>
    <row r="42" spans="1:2" x14ac:dyDescent="0.25">
      <c r="A42">
        <v>2</v>
      </c>
      <c r="B42">
        <v>-1</v>
      </c>
    </row>
    <row r="43" spans="1:2" x14ac:dyDescent="0.25">
      <c r="A43">
        <v>8</v>
      </c>
      <c r="B43">
        <v>-6</v>
      </c>
    </row>
    <row r="44" spans="1:2" x14ac:dyDescent="0.25">
      <c r="A44">
        <v>3</v>
      </c>
      <c r="B44">
        <v>-1</v>
      </c>
    </row>
    <row r="45" spans="1:2" x14ac:dyDescent="0.25">
      <c r="A45">
        <v>9</v>
      </c>
      <c r="B45">
        <v>-9</v>
      </c>
    </row>
    <row r="46" spans="1:2" x14ac:dyDescent="0.25">
      <c r="A46">
        <v>7</v>
      </c>
      <c r="B46">
        <v>-6</v>
      </c>
    </row>
    <row r="47" spans="1:2" x14ac:dyDescent="0.25">
      <c r="A47">
        <v>14</v>
      </c>
    </row>
    <row r="48" spans="1:2" x14ac:dyDescent="0.25">
      <c r="A48">
        <v>11</v>
      </c>
    </row>
    <row r="49" spans="1:3" x14ac:dyDescent="0.25">
      <c r="A49">
        <v>8</v>
      </c>
    </row>
    <row r="50" spans="1:3" x14ac:dyDescent="0.25">
      <c r="A50">
        <v>2</v>
      </c>
    </row>
    <row r="51" spans="1:3" x14ac:dyDescent="0.25">
      <c r="A51">
        <v>8</v>
      </c>
    </row>
    <row r="52" spans="1:3" x14ac:dyDescent="0.25">
      <c r="A52">
        <v>5</v>
      </c>
    </row>
    <row r="53" spans="1:3" x14ac:dyDescent="0.25">
      <c r="A53">
        <v>4</v>
      </c>
    </row>
    <row r="54" spans="1:3" x14ac:dyDescent="0.25">
      <c r="A54">
        <v>3</v>
      </c>
    </row>
    <row r="55" spans="1:3" x14ac:dyDescent="0.25">
      <c r="A55">
        <v>10</v>
      </c>
    </row>
    <row r="56" spans="1:3" x14ac:dyDescent="0.25">
      <c r="A56">
        <v>7</v>
      </c>
    </row>
    <row r="57" spans="1:3" x14ac:dyDescent="0.25">
      <c r="A57">
        <v>3</v>
      </c>
    </row>
    <row r="58" spans="1:3" x14ac:dyDescent="0.25">
      <c r="A58">
        <v>3</v>
      </c>
    </row>
    <row r="59" spans="1:3" x14ac:dyDescent="0.25">
      <c r="A59">
        <f>SUM(A1:A58)</f>
        <v>388</v>
      </c>
      <c r="B59">
        <f>SUM(B1:B58)</f>
        <v>-30</v>
      </c>
      <c r="C59">
        <f>SUM(A59:B59)</f>
        <v>358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ZZZZZ</dc:creator>
  <cp:lastModifiedBy>Nikola Radosavljević</cp:lastModifiedBy>
  <dcterms:created xsi:type="dcterms:W3CDTF">2019-09-21T09:05:34Z</dcterms:created>
  <dcterms:modified xsi:type="dcterms:W3CDTF">2026-06-02T17:48:06Z</dcterms:modified>
</cp:coreProperties>
</file>